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erardi/Documents/GitHub/glider_optimization_debug/diagnostics/2026-02-13_3d-llt-debug/"/>
    </mc:Choice>
  </mc:AlternateContent>
  <xr:revisionPtr revIDLastSave="0" documentId="13_ncr:1_{61708129-A0ED-684C-BE82-C6B24608F3D7}" xr6:coauthVersionLast="47" xr6:coauthVersionMax="47" xr10:uidLastSave="{00000000-0000-0000-0000-000000000000}"/>
  <bookViews>
    <workbookView xWindow="81920" yWindow="-5520" windowWidth="51200" windowHeight="28300" xr2:uid="{C3C5D041-920A-C543-BD98-8ED0647A34E2}"/>
  </bookViews>
  <sheets>
    <sheet name="Sheet3" sheetId="3" r:id="rId1"/>
  </sheets>
  <definedNames>
    <definedName name="rollout_terms_stage_0_16_full_test1_2d" localSheetId="0">Sheet3!$A$3:$AS$20</definedName>
    <definedName name="rollout_terms_stage_0_16_full_test2a_3dwing_fresh" localSheetId="0">Sheet3!$A$24:$AS$41</definedName>
    <definedName name="rollout_terms_stage_0_16_full_test3_2dwing_3delev" localSheetId="0">Sheet3!$A$45:$AS$62</definedName>
    <definedName name="rollout_terms_stage_0_16_full_test5_3dwing_3delev_centroidLplusX_20260219_170659" localSheetId="0">Sheet3!$A$66:$AP$83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7" i="3" l="1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AD46" i="3"/>
  <c r="AD25" i="3"/>
  <c r="AD4" i="3"/>
  <c r="O46" i="3"/>
  <c r="O25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4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4" i="3"/>
  <c r="T62" i="3" a="1"/>
  <c r="T62" i="3" s="1"/>
  <c r="U62" i="3" a="1"/>
  <c r="U62" i="3" s="1"/>
  <c r="AS62" i="3" a="1"/>
  <c r="AS6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81286E-8798-5741-9AAA-D47BF2AE6435}" name="rollout_terms_stage_0_16_full_test1_2d" type="6" refreshedVersion="8" background="1" saveData="1">
    <textPr codePage="10000" sourceFile="/Users/gherardi/Documents/GitHub/glider_optimization_debug/diagnostics/2026-02-13_3d-llt-debug/rollout_terms_stage_0_16_full_test1_2d.csv" thousands="'" comma="1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8A286E4-9F26-3544-8CC2-4549F82301DA}" name="rollout_terms_stage_0_16_full_test2a_3dwing_fresh" type="6" refreshedVersion="8" background="1" saveData="1">
    <textPr codePage="10000" sourceFile="/Users/gherardi/Documents/GitHub/glider_optimization_debug/diagnostics/2026-02-13_3d-llt-debug/rollout_terms_stage_0_16_full_test2a_3dwing_fresh.csv" thousands="'" comma="1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F48C4FA-E81F-BC40-9CDD-FF92144D7578}" name="rollout_terms_stage_0_16_full_test3_2dwing_3delev" type="6" refreshedVersion="8" background="1" saveData="1">
    <textPr codePage="10000" sourceFile="/Users/gherardi/Documents/GitHub/glider_optimization_debug/diagnostics/2026-02-13_3d-llt-debug/rollout_terms_stage_0_16_full_test3_2dwing_3delev.csv" thousands="'" comma="1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CD117865-C333-074A-A580-9D2926F149C5}" name="rollout_terms_stage_0_16_full_test5_3dwing_3delev_centroidLplusX_20260219_170659" type="6" refreshedVersion="8" background="1" saveData="1">
    <textPr codePage="10000" sourceFile="/Users/gherardi/Documents/GitHub/glider_optimization_debug/diagnostics/2026-02-13_3d-llt-debug/rollout_terms_stage_0_16_full_test6_3dwing_3delev_centroidLplusX_signfix_20260219_175010.csv" thousands="'" comma="1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<sst xmlns="http://schemas.openxmlformats.org/spreadsheetml/2006/main" count="192" uniqueCount="50">
  <si>
    <t>stage</t>
  </si>
  <si>
    <t>x</t>
  </si>
  <si>
    <t>z</t>
  </si>
  <si>
    <t>theta</t>
  </si>
  <si>
    <t>phi</t>
  </si>
  <si>
    <t>xdot</t>
  </si>
  <si>
    <t>zdot</t>
  </si>
  <si>
    <t>thetadot</t>
  </si>
  <si>
    <t>r_e_x</t>
  </si>
  <si>
    <t>r_e_z</t>
  </si>
  <si>
    <t>x_edot</t>
  </si>
  <si>
    <t>z_edot</t>
  </si>
  <si>
    <t>v_e_safe</t>
  </si>
  <si>
    <t>q_e</t>
  </si>
  <si>
    <t>CL_e</t>
  </si>
  <si>
    <t>CD_e</t>
  </si>
  <si>
    <t>F_ex</t>
  </si>
  <si>
    <t>F_ez</t>
  </si>
  <si>
    <t>tau_e_term_rxfz</t>
  </si>
  <si>
    <t>tau_e_term_rzfx</t>
  </si>
  <si>
    <t>tau_e_term_M</t>
  </si>
  <si>
    <t>tau_e</t>
  </si>
  <si>
    <t>thetaddot</t>
  </si>
  <si>
    <t>t</t>
  </si>
  <si>
    <t>x_wdot</t>
  </si>
  <si>
    <t>z_wdot</t>
  </si>
  <si>
    <t>v_w_safe</t>
  </si>
  <si>
    <t>alpha_w</t>
  </si>
  <si>
    <t>Re</t>
  </si>
  <si>
    <t>CL_w</t>
  </si>
  <si>
    <t>CD_w</t>
  </si>
  <si>
    <t>CM_w</t>
  </si>
  <si>
    <t>F_wx</t>
  </si>
  <si>
    <t>F_wz</t>
  </si>
  <si>
    <t>M_w</t>
  </si>
  <si>
    <t>alpha_e</t>
  </si>
  <si>
    <t>Re_e</t>
  </si>
  <si>
    <t>CM_e</t>
  </si>
  <si>
    <t>M_e</t>
  </si>
  <si>
    <t>tau_w</t>
  </si>
  <si>
    <t>xddot</t>
  </si>
  <si>
    <t>zddot</t>
  </si>
  <si>
    <t>inf</t>
  </si>
  <si>
    <t>nan</t>
  </si>
  <si>
    <t>2D</t>
  </si>
  <si>
    <t>3D wing 2D elevator</t>
  </si>
  <si>
    <t>2D wing 3D elevator</t>
  </si>
  <si>
    <t>aoa_body</t>
  </si>
  <si>
    <t>deg</t>
  </si>
  <si>
    <t>Full 3D with centroid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</si>
</sst>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11" fontId="0" fillId="3" borderId="0" xfId="0" applyNumberFormat="1" applyFill="1"/>
    <xf numFmtId="0" fontId="2" fillId="2" borderId="0" xfId="0" applyFont="1" applyFill="1"/>
    <xf numFmtId="0" fontId="2" fillId="3" borderId="0" xfId="0" applyFont="1" applyFill="1"/>
    <xf numFmtId="11" fontId="2" fillId="3" borderId="0" xfId="0" applyNumberFormat="1" applyFont="1" applyFill="1"/>
    <xf numFmtId="0" fontId="0" fillId="4" borderId="0" xfId="0" applyFill="1"/>
    <xf numFmtId="0" fontId="1" fillId="4" borderId="0" xfId="0" applyFont="1" applyFill="1"/>
    <xf numFmtId="0" fontId="0" fillId="0" borderId="0" xfId="0" applyFill="1"/>
    <xf numFmtId="11" fontId="0" fillId="0" borderId="0" xfId="0" applyNumberFormat="1" applyFill="1"/>
    <xf numFmtId="0" fontId="2" fillId="4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ollout_terms_stage_0_16_full_test5_3dwing_3delev_centroidLplusX_20260219_170659" connectionId="4" xr16:uid="{D5D2D2D8-276B-B54F-AD13-0AA5D9C9CAD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ollout_terms_stage_0_16_full_test3_2dwing_3delev" connectionId="3" xr16:uid="{BFDDF29C-3400-CA45-A087-8217BFE6DF2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ollout_terms_stage_0_16_full_test2a_3dwing_fresh" connectionId="2" xr16:uid="{40AA535F-B7D3-394A-90B8-AF9CDA26374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ollout_terms_stage_0_16_full_test1_2d" connectionId="1" xr16:uid="{94E84DDE-75A3-5A40-B255-55A76BE3B05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9830-120F-1D4E-95FF-F55B85743E43}">
  <dimension ref="A1:AS83"/>
  <sheetViews>
    <sheetView tabSelected="1" topLeftCell="A14" workbookViewId="0">
      <selection activeCell="G45" sqref="G45"/>
    </sheetView>
  </sheetViews>
  <sheetFormatPr baseColWidth="10" defaultRowHeight="16" x14ac:dyDescent="0.2"/>
  <cols>
    <col min="1" max="1" width="5.83203125" bestFit="1" customWidth="1"/>
    <col min="2" max="2" width="12.83203125" bestFit="1" customWidth="1"/>
    <col min="3" max="4" width="12.1640625" bestFit="1" customWidth="1"/>
    <col min="5" max="5" width="8.6640625" style="4" bestFit="1" customWidth="1"/>
    <col min="6" max="7" width="12.1640625" bestFit="1" customWidth="1"/>
    <col min="8" max="8" width="12.83203125" bestFit="1" customWidth="1"/>
    <col min="9" max="9" width="8.33203125" bestFit="1" customWidth="1"/>
    <col min="10" max="12" width="12.1640625" bestFit="1" customWidth="1"/>
    <col min="13" max="13" width="12.83203125" bestFit="1" customWidth="1"/>
    <col min="14" max="14" width="12.1640625" style="4" bestFit="1" customWidth="1"/>
    <col min="15" max="15" width="12.83203125" style="4" customWidth="1"/>
    <col min="16" max="16" width="12.1640625" bestFit="1" customWidth="1"/>
    <col min="17" max="18" width="12.83203125" style="10" bestFit="1" customWidth="1"/>
    <col min="19" max="22" width="12.83203125" bestFit="1" customWidth="1"/>
    <col min="23" max="23" width="12.1640625" bestFit="1" customWidth="1"/>
    <col min="24" max="24" width="12.83203125" bestFit="1" customWidth="1"/>
    <col min="25" max="26" width="12.1640625" bestFit="1" customWidth="1"/>
    <col min="27" max="27" width="12.83203125" bestFit="1" customWidth="1"/>
    <col min="28" max="28" width="12.1640625" bestFit="1" customWidth="1"/>
    <col min="29" max="29" width="12.83203125" style="8" bestFit="1" customWidth="1"/>
    <col min="30" max="30" width="12.1640625" style="8" bestFit="1" customWidth="1"/>
    <col min="31" max="31" width="12.83203125" bestFit="1" customWidth="1"/>
    <col min="32" max="33" width="12.83203125" style="10" bestFit="1" customWidth="1"/>
    <col min="34" max="36" width="12.83203125" bestFit="1" customWidth="1"/>
    <col min="37" max="38" width="14.33203125" bestFit="1" customWidth="1"/>
    <col min="39" max="45" width="12.83203125" bestFit="1" customWidth="1"/>
  </cols>
  <sheetData>
    <row r="1" spans="1:45" x14ac:dyDescent="0.2">
      <c r="A1" s="2" t="s">
        <v>44</v>
      </c>
    </row>
    <row r="3" spans="1:45" s="2" customFormat="1" x14ac:dyDescent="0.2">
      <c r="A3" s="2" t="s">
        <v>0</v>
      </c>
      <c r="B3" s="2" t="s">
        <v>1</v>
      </c>
      <c r="C3" s="2" t="s">
        <v>2</v>
      </c>
      <c r="D3" s="2" t="s">
        <v>3</v>
      </c>
      <c r="E3" s="5" t="s">
        <v>47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23</v>
      </c>
      <c r="K3" s="2" t="s">
        <v>24</v>
      </c>
      <c r="L3" s="2" t="s">
        <v>25</v>
      </c>
      <c r="M3" s="2" t="s">
        <v>26</v>
      </c>
      <c r="N3" s="5" t="s">
        <v>27</v>
      </c>
      <c r="O3" s="5" t="s">
        <v>48</v>
      </c>
      <c r="P3" s="2" t="s">
        <v>28</v>
      </c>
      <c r="Q3" s="11" t="s">
        <v>29</v>
      </c>
      <c r="R3" s="11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8</v>
      </c>
      <c r="X3" s="2" t="s">
        <v>9</v>
      </c>
      <c r="Y3" s="2" t="s">
        <v>10</v>
      </c>
      <c r="Z3" s="2" t="s">
        <v>11</v>
      </c>
      <c r="AA3" s="2" t="s">
        <v>12</v>
      </c>
      <c r="AB3" s="2" t="s">
        <v>13</v>
      </c>
      <c r="AC3" s="5" t="s">
        <v>35</v>
      </c>
      <c r="AD3" s="5"/>
      <c r="AE3" s="2" t="s">
        <v>36</v>
      </c>
      <c r="AF3" s="11" t="s">
        <v>14</v>
      </c>
      <c r="AG3" s="11" t="s">
        <v>15</v>
      </c>
      <c r="AH3" s="2" t="s">
        <v>37</v>
      </c>
      <c r="AI3" s="2" t="s">
        <v>16</v>
      </c>
      <c r="AJ3" s="2" t="s">
        <v>17</v>
      </c>
      <c r="AK3" s="2" t="s">
        <v>38</v>
      </c>
      <c r="AL3" s="2" t="s">
        <v>39</v>
      </c>
      <c r="AM3" s="2" t="s">
        <v>21</v>
      </c>
      <c r="AN3" s="2" t="s">
        <v>18</v>
      </c>
      <c r="AO3" s="2" t="s">
        <v>19</v>
      </c>
      <c r="AP3" s="2" t="s">
        <v>20</v>
      </c>
      <c r="AQ3" s="2" t="s">
        <v>40</v>
      </c>
      <c r="AR3" s="2" t="s">
        <v>41</v>
      </c>
      <c r="AS3" s="2" t="s">
        <v>22</v>
      </c>
    </row>
    <row r="4" spans="1:45" x14ac:dyDescent="0.2">
      <c r="A4">
        <v>0</v>
      </c>
      <c r="B4">
        <v>-8.5</v>
      </c>
      <c r="C4">
        <v>0</v>
      </c>
      <c r="D4">
        <v>0</v>
      </c>
      <c r="E4" s="4">
        <f>DEGREES(D4-ATAN2(G4,H4))</f>
        <v>-26.565051177077994</v>
      </c>
      <c r="F4">
        <v>0</v>
      </c>
      <c r="G4">
        <v>6</v>
      </c>
      <c r="H4">
        <v>3</v>
      </c>
      <c r="I4">
        <v>0</v>
      </c>
      <c r="J4">
        <v>0.01</v>
      </c>
      <c r="K4">
        <v>6</v>
      </c>
      <c r="L4">
        <v>3</v>
      </c>
      <c r="M4">
        <v>6.7082039324994396</v>
      </c>
      <c r="N4" s="4">
        <v>-0.46364754233414801</v>
      </c>
      <c r="O4" s="4">
        <f>DEGREES(N4)</f>
        <v>-26.565047357359848</v>
      </c>
      <c r="P4">
        <v>4593.3760856969302</v>
      </c>
      <c r="Q4" s="10">
        <v>-0.80600974035574102</v>
      </c>
      <c r="R4" s="10">
        <v>0.303614408160093</v>
      </c>
      <c r="S4">
        <v>9.7382758203501202E-2</v>
      </c>
      <c r="T4">
        <v>0.38713763860044398</v>
      </c>
      <c r="U4">
        <v>-3.7308106085073098</v>
      </c>
      <c r="V4">
        <v>4.2408973913148204E-3</v>
      </c>
      <c r="W4">
        <v>-0.281460571428571</v>
      </c>
      <c r="X4">
        <v>0</v>
      </c>
      <c r="Y4">
        <v>6</v>
      </c>
      <c r="Z4">
        <v>3</v>
      </c>
      <c r="AA4">
        <v>6.7082039324994396</v>
      </c>
      <c r="AB4">
        <v>27.5625000000006</v>
      </c>
      <c r="AC4" s="8">
        <v>-0.46364754233414801</v>
      </c>
      <c r="AD4" s="4">
        <f>DEGREES(AC4)</f>
        <v>-26.565047357359848</v>
      </c>
      <c r="AE4">
        <v>4593.3760856969302</v>
      </c>
      <c r="AF4" s="10">
        <v>-0.79999992000000297</v>
      </c>
      <c r="AG4" s="10">
        <v>0.39999989333335201</v>
      </c>
      <c r="AH4">
        <v>0.19999997999999999</v>
      </c>
      <c r="AI4" s="1">
        <v>2.7939661919530499E-8</v>
      </c>
      <c r="AJ4">
        <v>-0.41909498480356899</v>
      </c>
      <c r="AK4">
        <v>9.3712490628752399E-4</v>
      </c>
      <c r="AL4">
        <v>6.2215562355742098E-2</v>
      </c>
      <c r="AM4">
        <v>-0.117021588999373</v>
      </c>
      <c r="AN4">
        <v>-0.117958713905661</v>
      </c>
      <c r="AO4">
        <v>0</v>
      </c>
      <c r="AP4">
        <v>9.3712490628752399E-4</v>
      </c>
      <c r="AQ4">
        <v>5.9559641006170203</v>
      </c>
      <c r="AR4">
        <v>-73.654701435551999</v>
      </c>
      <c r="AS4">
        <v>175.38831095686299</v>
      </c>
    </row>
    <row r="5" spans="1:45" x14ac:dyDescent="0.2">
      <c r="A5">
        <v>1</v>
      </c>
      <c r="B5">
        <v>-8.44</v>
      </c>
      <c r="C5">
        <v>0.03</v>
      </c>
      <c r="D5">
        <v>0</v>
      </c>
      <c r="E5" s="4">
        <f t="shared" ref="E5:E20" si="0">DEGREES(D5-ATAN2(G5,H5))</f>
        <v>-20.482381666032591</v>
      </c>
      <c r="F5">
        <v>0</v>
      </c>
      <c r="G5">
        <v>6.0595596410061701</v>
      </c>
      <c r="H5">
        <v>2.2634529856444798</v>
      </c>
      <c r="I5">
        <v>1.75388310956863</v>
      </c>
      <c r="J5">
        <v>0.01</v>
      </c>
      <c r="K5">
        <v>6.0595596410061701</v>
      </c>
      <c r="L5">
        <v>2.2809918167401602</v>
      </c>
      <c r="M5">
        <v>6.4746572659058499</v>
      </c>
      <c r="N5" s="4">
        <v>-0.36002253668434397</v>
      </c>
      <c r="O5" s="4">
        <f t="shared" ref="O5:O20" si="1">DEGREES(N5)</f>
        <v>-20.627771881606765</v>
      </c>
      <c r="P5">
        <v>4433.4573229371999</v>
      </c>
      <c r="Q5" s="10">
        <v>-0.53272341713327598</v>
      </c>
      <c r="R5" s="10">
        <v>0.21802137099239899</v>
      </c>
      <c r="S5">
        <v>2.6476223408844899E-2</v>
      </c>
      <c r="T5">
        <v>-6.64028079120738E-2</v>
      </c>
      <c r="U5">
        <v>-2.33426348356971</v>
      </c>
      <c r="V5">
        <v>1.07411995568918E-3</v>
      </c>
      <c r="W5">
        <v>-0.281460571428571</v>
      </c>
      <c r="X5">
        <v>0</v>
      </c>
      <c r="Y5">
        <v>6.0595596410061701</v>
      </c>
      <c r="Z5">
        <v>1.7723657149652601</v>
      </c>
      <c r="AA5">
        <v>6.3134414759698299</v>
      </c>
      <c r="AB5">
        <v>24.4139702531788</v>
      </c>
      <c r="AC5" s="8">
        <v>-0.28455345838976498</v>
      </c>
      <c r="AD5" s="4">
        <f t="shared" ref="AD5:AD20" si="2">DEGREES(AC5)</f>
        <v>-16.303712211585019</v>
      </c>
      <c r="AE5">
        <v>4323.0664103203098</v>
      </c>
      <c r="AF5" s="10">
        <v>-0.53887994599509603</v>
      </c>
      <c r="AG5" s="10">
        <v>0.15761742432293699</v>
      </c>
      <c r="AH5">
        <v>0.13471998649877401</v>
      </c>
      <c r="AI5" s="1">
        <v>1.0361566057042001E-8</v>
      </c>
      <c r="AJ5">
        <v>-0.23302603383644499</v>
      </c>
      <c r="AK5">
        <v>5.5913845629125395E-4</v>
      </c>
      <c r="AL5">
        <v>3.7347240625514699E-2</v>
      </c>
      <c r="AM5">
        <v>-6.5028502185048201E-2</v>
      </c>
      <c r="AN5">
        <v>-6.5587640641339498E-2</v>
      </c>
      <c r="AO5">
        <v>0</v>
      </c>
      <c r="AP5">
        <v>5.5913845629125395E-4</v>
      </c>
      <c r="AQ5">
        <v>-1.0215815007770399</v>
      </c>
      <c r="AR5">
        <v>-49.306761806248502</v>
      </c>
      <c r="AS5">
        <v>88.5845956622708</v>
      </c>
    </row>
    <row r="6" spans="1:45" x14ac:dyDescent="0.2">
      <c r="A6">
        <v>2</v>
      </c>
      <c r="B6">
        <v>-8.3794044035899304</v>
      </c>
      <c r="C6">
        <v>5.2634529856444699E-2</v>
      </c>
      <c r="D6">
        <v>1.75388310956863E-2</v>
      </c>
      <c r="E6" s="4">
        <f t="shared" si="0"/>
        <v>-15.307605391065197</v>
      </c>
      <c r="F6">
        <v>0</v>
      </c>
      <c r="G6">
        <v>6.0493438259983998</v>
      </c>
      <c r="H6">
        <v>1.7703853675819901</v>
      </c>
      <c r="I6">
        <v>2.63972906619134</v>
      </c>
      <c r="J6">
        <v>0.01</v>
      </c>
      <c r="K6">
        <v>6.0488808721118597</v>
      </c>
      <c r="L6">
        <v>1.7967785983048199</v>
      </c>
      <c r="M6">
        <v>6.3101008816284399</v>
      </c>
      <c r="N6" s="4">
        <v>-0.27120300452845902</v>
      </c>
      <c r="O6" s="4">
        <f t="shared" si="1"/>
        <v>-15.538787550748054</v>
      </c>
      <c r="P6">
        <v>4320.7789714895698</v>
      </c>
      <c r="Q6" s="10">
        <v>-0.33869102531685502</v>
      </c>
      <c r="R6" s="10">
        <v>0.168409691083759</v>
      </c>
      <c r="S6">
        <v>-9.6155454550168103E-3</v>
      </c>
      <c r="T6">
        <v>-0.25045449366622602</v>
      </c>
      <c r="U6">
        <v>-1.43584280779595</v>
      </c>
      <c r="V6">
        <v>-3.7051834049006899E-4</v>
      </c>
      <c r="W6">
        <v>-0.28141728241117597</v>
      </c>
      <c r="X6">
        <v>-4.9362363401979203E-3</v>
      </c>
      <c r="Y6">
        <v>6.0623065348212597</v>
      </c>
      <c r="Z6">
        <v>1.03137490734277</v>
      </c>
      <c r="AA6">
        <v>6.1494141771093904</v>
      </c>
      <c r="AB6">
        <v>23.161868017000799</v>
      </c>
      <c r="AC6" s="8">
        <v>-0.150976794379581</v>
      </c>
      <c r="AD6" s="4">
        <f t="shared" si="2"/>
        <v>-8.6503331223644402</v>
      </c>
      <c r="AE6">
        <v>4210.7503448624902</v>
      </c>
      <c r="AF6" s="10">
        <v>-0.29738597617297502</v>
      </c>
      <c r="AG6" s="10">
        <v>4.5242658485598899E-2</v>
      </c>
      <c r="AH6">
        <v>7.4346494043243797E-2</v>
      </c>
      <c r="AI6">
        <v>2.0772588367173801E-3</v>
      </c>
      <c r="AJ6">
        <v>-0.118425372524002</v>
      </c>
      <c r="AK6">
        <v>2.9274062603457899E-4</v>
      </c>
      <c r="AL6">
        <v>2.1869970545027501E-2</v>
      </c>
      <c r="AM6">
        <v>-3.3044459718759099E-2</v>
      </c>
      <c r="AN6">
        <v>-3.3326946504235899E-2</v>
      </c>
      <c r="AO6" s="1">
        <v>-1.02538405578016E-5</v>
      </c>
      <c r="AP6">
        <v>2.9274062603457899E-4</v>
      </c>
      <c r="AQ6">
        <v>-3.8211882281462901</v>
      </c>
      <c r="AR6">
        <v>-33.7218181587685</v>
      </c>
      <c r="AS6">
        <v>35.760205619910401</v>
      </c>
    </row>
    <row r="7" spans="1:45" x14ac:dyDescent="0.2">
      <c r="A7">
        <v>3</v>
      </c>
      <c r="B7">
        <v>-8.31891096532995</v>
      </c>
      <c r="C7">
        <v>7.0338383532264695E-2</v>
      </c>
      <c r="D7">
        <v>4.3936121757599797E-2</v>
      </c>
      <c r="E7" s="4">
        <f t="shared" si="0"/>
        <v>-10.892689191827897</v>
      </c>
      <c r="F7">
        <v>0</v>
      </c>
      <c r="G7">
        <v>6.0111319437169302</v>
      </c>
      <c r="H7">
        <v>1.4331671859943</v>
      </c>
      <c r="I7">
        <v>2.9973311223904502</v>
      </c>
      <c r="J7">
        <v>0.01</v>
      </c>
      <c r="K7">
        <v>6.0098154563150299</v>
      </c>
      <c r="L7">
        <v>1.46311157188959</v>
      </c>
      <c r="M7">
        <v>6.1853518324151402</v>
      </c>
      <c r="N7" s="4">
        <v>-0.194871815838013</v>
      </c>
      <c r="O7" s="4">
        <f t="shared" si="1"/>
        <v>-11.165332593568776</v>
      </c>
      <c r="P7">
        <v>4235.3582977688902</v>
      </c>
      <c r="Q7" s="10">
        <v>-0.18000529014243799</v>
      </c>
      <c r="R7" s="10">
        <v>0.12643615660909099</v>
      </c>
      <c r="S7">
        <v>-3.27546031234517E-2</v>
      </c>
      <c r="T7">
        <v>-0.29719275685966701</v>
      </c>
      <c r="U7">
        <v>-0.75828383129841503</v>
      </c>
      <c r="V7">
        <v>-1.21273060461072E-3</v>
      </c>
      <c r="W7">
        <v>-0.28118895180465098</v>
      </c>
      <c r="X7">
        <v>-1.2362307709308599E-2</v>
      </c>
      <c r="Y7">
        <v>6.0479935909700799</v>
      </c>
      <c r="Z7">
        <v>0.59472438092635704</v>
      </c>
      <c r="AA7">
        <v>6.0771641055416996</v>
      </c>
      <c r="AB7">
        <v>22.6208031839817</v>
      </c>
      <c r="AC7" s="8">
        <v>-5.4082899391524802E-2</v>
      </c>
      <c r="AD7" s="4">
        <f t="shared" si="2"/>
        <v>-3.0987218789650193</v>
      </c>
      <c r="AE7">
        <v>4161.2778252032303</v>
      </c>
      <c r="AF7" s="10">
        <v>-0.107955001711763</v>
      </c>
      <c r="AG7" s="10">
        <v>5.8442186430673901E-3</v>
      </c>
      <c r="AH7">
        <v>2.69887504279408E-2</v>
      </c>
      <c r="AI7">
        <v>1.82606953650166E-3</v>
      </c>
      <c r="AJ7">
        <v>-4.1535156908247897E-2</v>
      </c>
      <c r="AK7">
        <v>1.03786225974048E-4</v>
      </c>
      <c r="AL7">
        <v>1.0356354751285501E-2</v>
      </c>
      <c r="AM7">
        <v>-1.1598015441606701E-2</v>
      </c>
      <c r="AN7">
        <v>-1.1679227234071899E-2</v>
      </c>
      <c r="AO7" s="1">
        <v>-2.2574433508828299E-5</v>
      </c>
      <c r="AP7">
        <v>1.03786225974048E-4</v>
      </c>
      <c r="AQ7">
        <v>-4.5441028818948599</v>
      </c>
      <c r="AR7">
        <v>-22.114907510871699</v>
      </c>
      <c r="AS7">
        <v>3.9735186911652098</v>
      </c>
    </row>
    <row r="8" spans="1:45" x14ac:dyDescent="0.2">
      <c r="A8">
        <v>4</v>
      </c>
      <c r="B8">
        <v>-8.2587996458927808</v>
      </c>
      <c r="C8">
        <v>8.4670055392207802E-2</v>
      </c>
      <c r="D8">
        <v>7.3909432981504306E-2</v>
      </c>
      <c r="E8" s="4">
        <f t="shared" si="0"/>
        <v>-7.2494800930290104</v>
      </c>
      <c r="F8">
        <v>0</v>
      </c>
      <c r="G8">
        <v>5.96569091489798</v>
      </c>
      <c r="H8">
        <v>1.2120181108855901</v>
      </c>
      <c r="I8">
        <v>3.0370663093021002</v>
      </c>
      <c r="J8">
        <v>0.01</v>
      </c>
      <c r="K8">
        <v>5.9634482794831198</v>
      </c>
      <c r="L8">
        <v>1.2423058602754899</v>
      </c>
      <c r="M8">
        <v>6.0914726653368501</v>
      </c>
      <c r="N8" s="4">
        <v>-0.13147319456776699</v>
      </c>
      <c r="O8" s="4">
        <f t="shared" si="1"/>
        <v>-7.5328591678353503</v>
      </c>
      <c r="P8">
        <v>4171.0754695570904</v>
      </c>
      <c r="Q8" s="10">
        <v>-6.8400682715418507E-2</v>
      </c>
      <c r="R8" s="10">
        <v>9.8487809059577699E-2</v>
      </c>
      <c r="S8">
        <v>-4.3893711492753999E-2</v>
      </c>
      <c r="T8">
        <v>-0.29613787077033099</v>
      </c>
      <c r="U8">
        <v>-0.31258706468076197</v>
      </c>
      <c r="V8">
        <v>-1.5761955032842199E-3</v>
      </c>
      <c r="W8">
        <v>-0.28069216745311898</v>
      </c>
      <c r="X8">
        <v>-2.0783657025844799E-2</v>
      </c>
      <c r="Y8">
        <v>6.0284847065141003</v>
      </c>
      <c r="Z8">
        <v>0.36396112796820101</v>
      </c>
      <c r="AA8">
        <v>6.0394615289235301</v>
      </c>
      <c r="AB8">
        <v>22.3409960301002</v>
      </c>
      <c r="AC8" s="8">
        <v>1.3609068751116501E-2</v>
      </c>
      <c r="AD8" s="4">
        <f t="shared" si="2"/>
        <v>0.77974220254234961</v>
      </c>
      <c r="AE8">
        <v>4135.4613599392496</v>
      </c>
      <c r="AF8" s="10">
        <v>2.7214776971480999E-2</v>
      </c>
      <c r="AG8" s="10">
        <v>3.7039063741586901E-4</v>
      </c>
      <c r="AH8">
        <v>-6.8036942428702498E-3</v>
      </c>
      <c r="AI8">
        <v>-7.6330992823364803E-4</v>
      </c>
      <c r="AJ8">
        <v>1.0308825289805999E-2</v>
      </c>
      <c r="AK8" s="1">
        <v>-2.5840222031896602E-5</v>
      </c>
      <c r="AL8">
        <v>2.92815996435895E-3</v>
      </c>
      <c r="AM8">
        <v>2.88363066421213E-3</v>
      </c>
      <c r="AN8">
        <v>2.8936065144912E-3</v>
      </c>
      <c r="AO8" s="1">
        <v>1.5864371752830301E-5</v>
      </c>
      <c r="AP8" s="1">
        <v>-2.5840222031896602E-5</v>
      </c>
      <c r="AQ8">
        <v>-4.5677104722856203</v>
      </c>
      <c r="AR8">
        <v>-14.460434452168499</v>
      </c>
      <c r="AS8">
        <v>-18.598687122640701</v>
      </c>
    </row>
    <row r="9" spans="1:45" x14ac:dyDescent="0.2">
      <c r="A9">
        <v>5</v>
      </c>
      <c r="B9">
        <v>-8.1991427367438003</v>
      </c>
      <c r="C9">
        <v>9.6790236501063706E-2</v>
      </c>
      <c r="D9">
        <v>0.104280096074525</v>
      </c>
      <c r="E9" s="4">
        <f t="shared" si="0"/>
        <v>-4.2461434212593954</v>
      </c>
      <c r="F9">
        <v>0</v>
      </c>
      <c r="G9">
        <v>5.9200138101751296</v>
      </c>
      <c r="H9">
        <v>1.0674137663639001</v>
      </c>
      <c r="I9">
        <v>2.8510794380756899</v>
      </c>
      <c r="J9">
        <v>0.01</v>
      </c>
      <c r="K9">
        <v>5.9170460873000401</v>
      </c>
      <c r="L9">
        <v>1.0957696831566699</v>
      </c>
      <c r="M9">
        <v>6.0176528312755799</v>
      </c>
      <c r="N9" s="4">
        <v>-7.8834025543070105E-2</v>
      </c>
      <c r="O9" s="4">
        <f t="shared" si="1"/>
        <v>-4.5168569456444443</v>
      </c>
      <c r="P9">
        <v>4120.5280706051299</v>
      </c>
      <c r="Q9" s="10">
        <v>-7.1410760204112994E-2</v>
      </c>
      <c r="R9" s="10">
        <v>7.6084112769326903E-2</v>
      </c>
      <c r="S9">
        <v>-4.3517354417713303E-2</v>
      </c>
      <c r="T9">
        <v>-0.216604378167398</v>
      </c>
      <c r="U9">
        <v>-0.29462174316659301</v>
      </c>
      <c r="V9">
        <v>-1.52503539323545E-3</v>
      </c>
      <c r="W9">
        <v>-0.27993160896494002</v>
      </c>
      <c r="X9">
        <v>-2.9297569373539899E-2</v>
      </c>
      <c r="Y9">
        <v>6.0031100506776998</v>
      </c>
      <c r="Z9">
        <v>0.27344809616636301</v>
      </c>
      <c r="AA9">
        <v>6.0093347503567802</v>
      </c>
      <c r="AB9">
        <v>22.118663786880401</v>
      </c>
      <c r="AC9" s="8">
        <v>5.8760497454044401E-2</v>
      </c>
      <c r="AD9" s="4">
        <f t="shared" si="2"/>
        <v>3.3667285062059631</v>
      </c>
      <c r="AE9">
        <v>4114.8323472258498</v>
      </c>
      <c r="AF9" s="10">
        <v>0.117250664302714</v>
      </c>
      <c r="AG9" s="10">
        <v>6.8976479130803603E-3</v>
      </c>
      <c r="AH9">
        <v>-2.93126660756786E-2</v>
      </c>
      <c r="AI9">
        <v>-4.5971362463013404E-3</v>
      </c>
      <c r="AJ9">
        <v>4.3924587583491201E-2</v>
      </c>
      <c r="AK9">
        <v>-1.1022069095625501E-4</v>
      </c>
      <c r="AL9">
        <v>2.6779865115778702E-3</v>
      </c>
      <c r="AM9">
        <v>1.2320344702507501E-2</v>
      </c>
      <c r="AN9">
        <v>1.2295880475368099E-2</v>
      </c>
      <c r="AO9">
        <v>1.3468491809562799E-4</v>
      </c>
      <c r="AP9">
        <v>-1.1022069095625501E-4</v>
      </c>
      <c r="AQ9">
        <v>-3.4031002217492201</v>
      </c>
      <c r="AR9">
        <v>-13.666879316663101</v>
      </c>
      <c r="AS9">
        <v>-47.997129876148698</v>
      </c>
    </row>
    <row r="10" spans="1:45" x14ac:dyDescent="0.2">
      <c r="A10">
        <v>6</v>
      </c>
      <c r="B10">
        <v>-8.1399425986420493</v>
      </c>
      <c r="C10">
        <v>0.107464374164702</v>
      </c>
      <c r="D10">
        <v>0.132790890455282</v>
      </c>
      <c r="E10" s="4">
        <f t="shared" si="0"/>
        <v>-1.3773681407282472</v>
      </c>
      <c r="F10">
        <v>0</v>
      </c>
      <c r="G10">
        <v>5.8859828079576397</v>
      </c>
      <c r="H10">
        <v>0.93074497319727401</v>
      </c>
      <c r="I10">
        <v>2.3711081393142002</v>
      </c>
      <c r="J10">
        <v>0.01</v>
      </c>
      <c r="K10">
        <v>5.8828434376679102</v>
      </c>
      <c r="L10">
        <v>0.95424730786888101</v>
      </c>
      <c r="M10">
        <v>5.9597344602497504</v>
      </c>
      <c r="N10" s="4">
        <v>-2.8016989757242899E-2</v>
      </c>
      <c r="O10" s="4">
        <f t="shared" si="1"/>
        <v>-1.605255267751275</v>
      </c>
      <c r="P10">
        <v>4080.8690406964502</v>
      </c>
      <c r="Q10" s="10">
        <v>-9.9364779104487905E-2</v>
      </c>
      <c r="R10" s="10">
        <v>6.23617257714442E-2</v>
      </c>
      <c r="S10">
        <v>-3.71933525254005E-2</v>
      </c>
      <c r="T10">
        <v>-0.156903253718399</v>
      </c>
      <c r="U10">
        <v>-0.37146139471511902</v>
      </c>
      <c r="V10">
        <v>-1.2784458162374E-3</v>
      </c>
      <c r="W10">
        <v>-0.27898265949561901</v>
      </c>
      <c r="X10">
        <v>-3.7265654021484601E-2</v>
      </c>
      <c r="Y10">
        <v>5.9738851760699596</v>
      </c>
      <c r="Z10">
        <v>0.272679602392293</v>
      </c>
      <c r="AA10">
        <v>5.9801052049633903</v>
      </c>
      <c r="AB10">
        <v>21.9040156857385</v>
      </c>
      <c r="AC10" s="8">
        <v>8.7177288911418696E-2</v>
      </c>
      <c r="AD10" s="4">
        <f t="shared" si="2"/>
        <v>4.9948907240169218</v>
      </c>
      <c r="AE10">
        <v>4094.8177060257899</v>
      </c>
      <c r="AF10" s="10">
        <v>0.17347253702697801</v>
      </c>
      <c r="AG10" s="10">
        <v>1.5161292953295999E-2</v>
      </c>
      <c r="AH10">
        <v>-4.33681342567446E-2</v>
      </c>
      <c r="AI10">
        <v>-8.5851322189783603E-3</v>
      </c>
      <c r="AJ10">
        <v>6.4271054468364994E-2</v>
      </c>
      <c r="AK10">
        <v>-1.6148916981356101E-4</v>
      </c>
      <c r="AL10">
        <v>4.1202157340720098E-3</v>
      </c>
      <c r="AM10">
        <v>1.8088951101359899E-2</v>
      </c>
      <c r="AN10">
        <v>1.7930509704172301E-2</v>
      </c>
      <c r="AO10">
        <v>3.1993056700114803E-4</v>
      </c>
      <c r="AP10">
        <v>-1.6148916981356101E-4</v>
      </c>
      <c r="AQ10">
        <v>-2.5459751682673399</v>
      </c>
      <c r="AR10">
        <v>-14.536005234565399</v>
      </c>
      <c r="AS10">
        <v>-71.072991376546497</v>
      </c>
    </row>
    <row r="11" spans="1:45" x14ac:dyDescent="0.2">
      <c r="A11">
        <v>7</v>
      </c>
      <c r="B11">
        <v>-8.0810827705624693</v>
      </c>
      <c r="C11">
        <v>0.11677182389667499</v>
      </c>
      <c r="D11">
        <v>0.15650197184842399</v>
      </c>
      <c r="E11" s="4">
        <f t="shared" si="0"/>
        <v>1.3340137128926699</v>
      </c>
      <c r="F11">
        <v>0</v>
      </c>
      <c r="G11">
        <v>5.8605230562749604</v>
      </c>
      <c r="H11">
        <v>0.78538492085162004</v>
      </c>
      <c r="I11">
        <v>1.66037822554874</v>
      </c>
      <c r="J11">
        <v>0.01</v>
      </c>
      <c r="K11">
        <v>5.8579351261821797</v>
      </c>
      <c r="L11">
        <v>0.80178578067732797</v>
      </c>
      <c r="M11">
        <v>5.912551427316</v>
      </c>
      <c r="N11" s="4">
        <v>2.0475485659944899E-2</v>
      </c>
      <c r="O11" s="4">
        <f t="shared" si="1"/>
        <v>1.1731589117954819</v>
      </c>
      <c r="P11">
        <v>4048.5609270330301</v>
      </c>
      <c r="Q11" s="10">
        <v>5.8326261150527199E-2</v>
      </c>
      <c r="R11" s="10">
        <v>6.5527792305480795E-2</v>
      </c>
      <c r="S11">
        <v>-3.7023525060786003E-2</v>
      </c>
      <c r="T11">
        <v>-0.24639679485784599</v>
      </c>
      <c r="U11">
        <v>0.16543773471441001</v>
      </c>
      <c r="V11">
        <v>-1.2525377061583501E-3</v>
      </c>
      <c r="W11">
        <v>-0.278020712837171</v>
      </c>
      <c r="X11">
        <v>-4.3869539573704999E-2</v>
      </c>
      <c r="Y11">
        <v>5.93298509887273</v>
      </c>
      <c r="Z11">
        <v>0.326160845731784</v>
      </c>
      <c r="AA11">
        <v>5.94194354405486</v>
      </c>
      <c r="AB11">
        <v>21.625349511950301</v>
      </c>
      <c r="AC11" s="8">
        <v>0.101583105517492</v>
      </c>
      <c r="AD11" s="4">
        <f t="shared" si="2"/>
        <v>5.8202832159843982</v>
      </c>
      <c r="AE11">
        <v>4068.6868873489102</v>
      </c>
      <c r="AF11" s="10">
        <v>0.20177142740564999</v>
      </c>
      <c r="AG11" s="10">
        <v>2.0567362662093799E-2</v>
      </c>
      <c r="AH11">
        <v>-5.0442856851412497E-2</v>
      </c>
      <c r="AI11">
        <v>-1.16214921787193E-2</v>
      </c>
      <c r="AJ11">
        <v>7.3650541521221899E-2</v>
      </c>
      <c r="AK11">
        <v>-1.85443549664823E-4</v>
      </c>
      <c r="AL11">
        <v>-4.38870840208932E-3</v>
      </c>
      <c r="AM11">
        <v>2.0800762015948802E-2</v>
      </c>
      <c r="AN11">
        <v>2.0476376054573801E-2</v>
      </c>
      <c r="AO11">
        <v>5.0982951103983203E-4</v>
      </c>
      <c r="AP11">
        <v>-1.85443549664823E-4</v>
      </c>
      <c r="AQ11">
        <v>-3.9695121082548499</v>
      </c>
      <c r="AR11">
        <v>-6.1317188271441099</v>
      </c>
      <c r="AS11">
        <v>-52.5212743734414</v>
      </c>
    </row>
    <row r="12" spans="1:45" x14ac:dyDescent="0.2">
      <c r="A12">
        <v>8</v>
      </c>
      <c r="B12">
        <v>-8.0224775399997199</v>
      </c>
      <c r="C12">
        <v>0.124625673105191</v>
      </c>
      <c r="D12">
        <v>0.17310575410391099</v>
      </c>
      <c r="E12" s="4">
        <f t="shared" si="0"/>
        <v>2.8274832043735105</v>
      </c>
      <c r="F12">
        <v>0</v>
      </c>
      <c r="G12">
        <v>5.8208279351924102</v>
      </c>
      <c r="H12">
        <v>0.72406773258017898</v>
      </c>
      <c r="I12">
        <v>1.13516548181432</v>
      </c>
      <c r="J12">
        <v>0.01</v>
      </c>
      <c r="K12">
        <v>5.8188726976496001</v>
      </c>
      <c r="L12">
        <v>0.73524973210000599</v>
      </c>
      <c r="M12">
        <v>5.8651403768371999</v>
      </c>
      <c r="N12" s="4">
        <v>4.7415823166135899E-2</v>
      </c>
      <c r="O12" s="4">
        <f t="shared" si="1"/>
        <v>2.7167265495582233</v>
      </c>
      <c r="P12">
        <v>4016.0966806179799</v>
      </c>
      <c r="Q12" s="10">
        <v>0.18001895595072401</v>
      </c>
      <c r="R12" s="10">
        <v>7.2295672268843897E-2</v>
      </c>
      <c r="S12">
        <v>-3.7677890350842097E-2</v>
      </c>
      <c r="T12">
        <v>-0.31390390865210499</v>
      </c>
      <c r="U12">
        <v>0.56439316908732495</v>
      </c>
      <c r="V12">
        <v>-1.2543148961517299E-3</v>
      </c>
      <c r="W12">
        <v>-0.27725402375118702</v>
      </c>
      <c r="X12">
        <v>-4.8479475891084103E-2</v>
      </c>
      <c r="Y12">
        <v>5.87557458639131</v>
      </c>
      <c r="Z12">
        <v>0.41097174602499698</v>
      </c>
      <c r="AA12">
        <v>5.8899299228665898</v>
      </c>
      <c r="AB12">
        <v>21.248405628971</v>
      </c>
      <c r="AC12" s="8">
        <v>0.103273703432018</v>
      </c>
      <c r="AD12" s="4">
        <f t="shared" si="2"/>
        <v>5.9171473413403568</v>
      </c>
      <c r="AE12">
        <v>4033.0710763060802</v>
      </c>
      <c r="AF12" s="10">
        <v>0.205081921270451</v>
      </c>
      <c r="AG12" s="10">
        <v>2.12551887401802E-2</v>
      </c>
      <c r="AH12">
        <v>-5.1270480317612901E-2</v>
      </c>
      <c r="AI12">
        <v>-1.28281234567569E-2</v>
      </c>
      <c r="AJ12">
        <v>7.3364006764878795E-2</v>
      </c>
      <c r="AK12">
        <v>-1.8520071363873901E-4</v>
      </c>
      <c r="AL12">
        <v>-1.07337652447371E-2</v>
      </c>
      <c r="AM12">
        <v>2.0777166062282901E-2</v>
      </c>
      <c r="AN12">
        <v>2.0340466074071899E-2</v>
      </c>
      <c r="AO12">
        <v>6.2190070184969999E-4</v>
      </c>
      <c r="AP12">
        <v>-1.8520071363873901E-4</v>
      </c>
      <c r="AQ12">
        <v>-5.0266466478286498</v>
      </c>
      <c r="AR12">
        <v>1.6488592646748399E-3</v>
      </c>
      <c r="AS12">
        <v>-32.140536607515898</v>
      </c>
    </row>
    <row r="13" spans="1:45" x14ac:dyDescent="0.2">
      <c r="A13">
        <v>9</v>
      </c>
      <c r="B13">
        <v>-7.9642692606478001</v>
      </c>
      <c r="C13">
        <v>0.13186635043099301</v>
      </c>
      <c r="D13">
        <v>0.18445740892205501</v>
      </c>
      <c r="E13" s="4">
        <f t="shared" si="0"/>
        <v>3.4165944244699875</v>
      </c>
      <c r="F13">
        <v>0</v>
      </c>
      <c r="G13">
        <v>5.7705614687141296</v>
      </c>
      <c r="H13">
        <v>0.724084221172825</v>
      </c>
      <c r="I13">
        <v>0.81376011573916796</v>
      </c>
      <c r="J13">
        <v>0.01</v>
      </c>
      <c r="K13">
        <v>5.7690689254567999</v>
      </c>
      <c r="L13">
        <v>0.73208377536176605</v>
      </c>
      <c r="M13">
        <v>5.8153334316116601</v>
      </c>
      <c r="N13" s="4">
        <v>5.8233995004678699E-2</v>
      </c>
      <c r="O13" s="4">
        <f t="shared" si="1"/>
        <v>3.336562137954008</v>
      </c>
      <c r="P13">
        <v>3981.9918690465502</v>
      </c>
      <c r="Q13" s="10">
        <v>0.22357838837264599</v>
      </c>
      <c r="R13" s="10">
        <v>7.5799912848149298E-2</v>
      </c>
      <c r="S13">
        <v>-3.7733779969444999E-2</v>
      </c>
      <c r="T13">
        <v>-0.33821493781103601</v>
      </c>
      <c r="U13">
        <v>0.69466457671114001</v>
      </c>
      <c r="V13">
        <v>-1.2349311180374801E-3</v>
      </c>
      <c r="W13">
        <v>-0.27668584999989398</v>
      </c>
      <c r="X13">
        <v>-5.1623576771991503E-2</v>
      </c>
      <c r="Y13">
        <v>5.8123526799192202</v>
      </c>
      <c r="Z13">
        <v>0.50009670388248795</v>
      </c>
      <c r="AA13">
        <v>5.83382725052767</v>
      </c>
      <c r="AB13">
        <v>20.845543488261999</v>
      </c>
      <c r="AC13" s="8">
        <v>9.8628479221507095E-2</v>
      </c>
      <c r="AD13" s="4">
        <f t="shared" si="2"/>
        <v>5.6509955991860918</v>
      </c>
      <c r="AE13">
        <v>3994.6553280583498</v>
      </c>
      <c r="AF13" s="10">
        <v>0.195980223393692</v>
      </c>
      <c r="AG13" s="10">
        <v>1.93921517555764E-2</v>
      </c>
      <c r="AH13">
        <v>-4.8995055848423098E-2</v>
      </c>
      <c r="AI13">
        <v>-1.28003163532961E-2</v>
      </c>
      <c r="AJ13">
        <v>6.8605593476858198E-2</v>
      </c>
      <c r="AK13">
        <v>-1.7362585645768199E-4</v>
      </c>
      <c r="AL13">
        <v>-1.28104581682504E-2</v>
      </c>
      <c r="AM13">
        <v>1.94693692034042E-2</v>
      </c>
      <c r="AN13">
        <v>1.8982196945891702E-2</v>
      </c>
      <c r="AO13">
        <v>6.6079811397016196E-4</v>
      </c>
      <c r="AP13">
        <v>-1.7362585645768199E-4</v>
      </c>
      <c r="AQ13">
        <v>-5.4002346794512697</v>
      </c>
      <c r="AR13">
        <v>1.9326180028922899</v>
      </c>
      <c r="AS13">
        <v>-21.309611931215301</v>
      </c>
    </row>
    <row r="14" spans="1:45" x14ac:dyDescent="0.2">
      <c r="A14">
        <v>10</v>
      </c>
      <c r="B14">
        <v>-7.9065636459606603</v>
      </c>
      <c r="C14">
        <v>0.13910719264272101</v>
      </c>
      <c r="D14">
        <v>0.19259501007944599</v>
      </c>
      <c r="E14" s="4">
        <f t="shared" si="0"/>
        <v>3.6254290238812854</v>
      </c>
      <c r="F14">
        <v>0</v>
      </c>
      <c r="G14">
        <v>5.7165591219196097</v>
      </c>
      <c r="H14">
        <v>0.74341040120174795</v>
      </c>
      <c r="I14">
        <v>0.60066399642701396</v>
      </c>
      <c r="J14">
        <v>0.01</v>
      </c>
      <c r="K14">
        <v>5.71540941158419</v>
      </c>
      <c r="L14">
        <v>0.749305983429568</v>
      </c>
      <c r="M14">
        <v>5.7643181902831699</v>
      </c>
      <c r="N14" s="4">
        <v>6.2235742756613602E-2</v>
      </c>
      <c r="O14" s="4">
        <f t="shared" si="1"/>
        <v>3.5658453948158431</v>
      </c>
      <c r="P14">
        <v>3947.0596887070301</v>
      </c>
      <c r="Q14" s="10">
        <v>0.23843180432144401</v>
      </c>
      <c r="R14" s="10">
        <v>7.7457353425578995E-2</v>
      </c>
      <c r="S14">
        <v>-3.7702929710675299E-2</v>
      </c>
      <c r="T14">
        <v>-0.34662000505560198</v>
      </c>
      <c r="U14">
        <v>0.72781415322597798</v>
      </c>
      <c r="V14">
        <v>-1.2123671773557601E-3</v>
      </c>
      <c r="W14">
        <v>-0.276256601463859</v>
      </c>
      <c r="X14">
        <v>-5.3873401753894198E-2</v>
      </c>
      <c r="Y14">
        <v>5.7487510113115201</v>
      </c>
      <c r="Z14">
        <v>0.57833409882279596</v>
      </c>
      <c r="AA14">
        <v>5.7777684723357901</v>
      </c>
      <c r="AB14">
        <v>20.446847718449401</v>
      </c>
      <c r="AC14" s="8">
        <v>9.2330672339274195E-2</v>
      </c>
      <c r="AD14" s="4">
        <f t="shared" si="2"/>
        <v>5.2901578446457034</v>
      </c>
      <c r="AE14">
        <v>3956.2696358923099</v>
      </c>
      <c r="AF14" s="10">
        <v>0.183613646394303</v>
      </c>
      <c r="AG14" s="10">
        <v>1.7001511263731499E-2</v>
      </c>
      <c r="AH14">
        <v>-4.5903411598575798E-2</v>
      </c>
      <c r="AI14">
        <v>-1.2268484492428299E-2</v>
      </c>
      <c r="AJ14">
        <v>6.2911370140128903E-2</v>
      </c>
      <c r="AK14">
        <v>-1.5955861134127501E-4</v>
      </c>
      <c r="AL14">
        <v>-1.3344042962806099E-2</v>
      </c>
      <c r="AM14">
        <v>1.7881067690977599E-2</v>
      </c>
      <c r="AN14">
        <v>1.7379681308346901E-2</v>
      </c>
      <c r="AO14">
        <v>6.6094499397201505E-4</v>
      </c>
      <c r="AP14">
        <v>-1.5955861134127501E-4</v>
      </c>
      <c r="AQ14">
        <v>-5.5213613776620099</v>
      </c>
      <c r="AR14">
        <v>2.3550080517862599</v>
      </c>
      <c r="AS14">
        <v>-14.5192263073133</v>
      </c>
    </row>
    <row r="15" spans="1:45" x14ac:dyDescent="0.2">
      <c r="A15">
        <v>11</v>
      </c>
      <c r="B15">
        <v>-7.8493980547414601</v>
      </c>
      <c r="C15">
        <v>0.146541296654739</v>
      </c>
      <c r="D15">
        <v>0.19860165004371599</v>
      </c>
      <c r="E15" s="4">
        <f t="shared" si="0"/>
        <v>3.6639642689387615</v>
      </c>
      <c r="F15">
        <v>0</v>
      </c>
      <c r="G15">
        <v>5.6613455081429898</v>
      </c>
      <c r="H15">
        <v>0.76696048171961095</v>
      </c>
      <c r="I15">
        <v>0.45547173335388103</v>
      </c>
      <c r="J15">
        <v>0.01</v>
      </c>
      <c r="K15">
        <v>5.6604468685120901</v>
      </c>
      <c r="L15">
        <v>0.77142566892757902</v>
      </c>
      <c r="M15">
        <v>5.7127713339437696</v>
      </c>
      <c r="N15" s="4">
        <v>6.3152606542218603E-2</v>
      </c>
      <c r="O15" s="4">
        <f t="shared" si="1"/>
        <v>3.6183778201193975</v>
      </c>
      <c r="P15">
        <v>3911.7634902633399</v>
      </c>
      <c r="Q15" s="10">
        <v>0.24164001813004701</v>
      </c>
      <c r="R15" s="10">
        <v>7.8219015350130594E-2</v>
      </c>
      <c r="S15">
        <v>-3.76553416976785E-2</v>
      </c>
      <c r="T15">
        <v>-0.347834320605447</v>
      </c>
      <c r="U15">
        <v>0.72282841893236505</v>
      </c>
      <c r="V15">
        <v>-1.18927819014628E-3</v>
      </c>
      <c r="W15">
        <v>-0.27592802166582098</v>
      </c>
      <c r="X15">
        <v>-5.5531793852564397E-2</v>
      </c>
      <c r="Y15">
        <v>5.6865074178083201</v>
      </c>
      <c r="Z15">
        <v>0.64193523989649004</v>
      </c>
      <c r="AA15">
        <v>5.7226259239103703</v>
      </c>
      <c r="AB15">
        <v>20.058424072319301</v>
      </c>
      <c r="AC15" s="8">
        <v>8.6190130306446899E-2</v>
      </c>
      <c r="AD15" s="4">
        <f t="shared" si="2"/>
        <v>4.9383307022420162</v>
      </c>
      <c r="AE15">
        <v>3918.5113229682502</v>
      </c>
      <c r="AF15" s="10">
        <v>0.171527816190157</v>
      </c>
      <c r="AG15" s="10">
        <v>1.4820722775272899E-2</v>
      </c>
      <c r="AH15">
        <v>-4.2881954047539299E-2</v>
      </c>
      <c r="AI15">
        <v>-1.15829611582245E-2</v>
      </c>
      <c r="AJ15">
        <v>5.7553754557337002E-2</v>
      </c>
      <c r="AK15">
        <v>-1.46224551286993E-4</v>
      </c>
      <c r="AL15">
        <v>-1.32672576554773E-2</v>
      </c>
      <c r="AM15">
        <v>1.6377691694399999E-2</v>
      </c>
      <c r="AN15">
        <v>1.5880693634446202E-2</v>
      </c>
      <c r="AO15">
        <v>6.4322261124078904E-4</v>
      </c>
      <c r="AP15">
        <v>-1.46224551286993E-4</v>
      </c>
      <c r="AQ15">
        <v>-5.5294966425180201</v>
      </c>
      <c r="AR15">
        <v>2.19587959214926</v>
      </c>
      <c r="AS15">
        <v>-9.9539011644951998</v>
      </c>
    </row>
    <row r="16" spans="1:45" x14ac:dyDescent="0.2">
      <c r="A16">
        <v>12</v>
      </c>
      <c r="B16">
        <v>-7.7927845996600302</v>
      </c>
      <c r="C16">
        <v>0.154210901471935</v>
      </c>
      <c r="D16">
        <v>0.20315636737725501</v>
      </c>
      <c r="E16" s="4">
        <f t="shared" si="0"/>
        <v>3.6295768590811011</v>
      </c>
      <c r="F16">
        <v>0</v>
      </c>
      <c r="G16">
        <v>5.6060505417178099</v>
      </c>
      <c r="H16">
        <v>0.78891927764110303</v>
      </c>
      <c r="I16">
        <v>0.35593272170892898</v>
      </c>
      <c r="J16">
        <v>0.01</v>
      </c>
      <c r="K16">
        <v>5.6053324055008398</v>
      </c>
      <c r="L16">
        <v>0.79240540595374198</v>
      </c>
      <c r="M16">
        <v>5.6610650679482104</v>
      </c>
      <c r="N16" s="4">
        <v>6.2720614377636902E-2</v>
      </c>
      <c r="O16" s="4">
        <f t="shared" si="1"/>
        <v>3.5936264923061452</v>
      </c>
      <c r="P16">
        <v>3876.3581376392199</v>
      </c>
      <c r="Q16" s="10">
        <v>0.23993932137297699</v>
      </c>
      <c r="R16" s="10">
        <v>7.8587597727253003E-2</v>
      </c>
      <c r="S16">
        <v>-3.7604336947142498E-2</v>
      </c>
      <c r="T16">
        <v>-0.34549520954713497</v>
      </c>
      <c r="U16">
        <v>0.70270824705197998</v>
      </c>
      <c r="V16">
        <v>-1.16626544652425E-3</v>
      </c>
      <c r="W16">
        <v>-0.27567222879578901</v>
      </c>
      <c r="X16">
        <v>-5.67879876352382E-2</v>
      </c>
      <c r="Y16">
        <v>5.6261583557931596</v>
      </c>
      <c r="Z16">
        <v>0.69130768488722905</v>
      </c>
      <c r="AA16">
        <v>5.66847106014015</v>
      </c>
      <c r="AB16">
        <v>19.680583047783401</v>
      </c>
      <c r="AC16" s="8">
        <v>8.0895388519564099E-2</v>
      </c>
      <c r="AD16" s="4">
        <f t="shared" si="2"/>
        <v>4.6349643442420758</v>
      </c>
      <c r="AE16">
        <v>3881.4293173122901</v>
      </c>
      <c r="AF16" s="10">
        <v>0.16108585416349699</v>
      </c>
      <c r="AG16" s="10">
        <v>1.30596028186827E-2</v>
      </c>
      <c r="AH16">
        <v>-4.0271463540874401E-2</v>
      </c>
      <c r="AI16">
        <v>-1.09095245414184E-2</v>
      </c>
      <c r="AJ16">
        <v>5.2959309587066801E-2</v>
      </c>
      <c r="AK16">
        <v>-1.3473620005423299E-4</v>
      </c>
      <c r="AL16">
        <v>-1.2944600932941299E-2</v>
      </c>
      <c r="AM16">
        <v>1.5084204654063E-2</v>
      </c>
      <c r="AN16">
        <v>1.45994109093529E-2</v>
      </c>
      <c r="AO16">
        <v>6.1952994476439601E-4</v>
      </c>
      <c r="AP16">
        <v>-1.3473620005423299E-4</v>
      </c>
      <c r="AQ16">
        <v>-5.4831497552085198</v>
      </c>
      <c r="AR16">
        <v>1.81565471752379</v>
      </c>
      <c r="AS16">
        <v>-6.8470842669302199</v>
      </c>
    </row>
    <row r="17" spans="1:45" x14ac:dyDescent="0.2">
      <c r="A17">
        <v>13</v>
      </c>
      <c r="B17">
        <v>-7.7367240942428497</v>
      </c>
      <c r="C17">
        <v>0.16210009424834601</v>
      </c>
      <c r="D17">
        <v>0.206715694594345</v>
      </c>
      <c r="E17" s="4">
        <f t="shared" si="0"/>
        <v>3.5718264592391638</v>
      </c>
      <c r="F17">
        <v>0</v>
      </c>
      <c r="G17">
        <v>5.5512190441657303</v>
      </c>
      <c r="H17">
        <v>0.80707582481634099</v>
      </c>
      <c r="I17">
        <v>0.287461879039627</v>
      </c>
      <c r="J17">
        <v>0.01</v>
      </c>
      <c r="K17">
        <v>5.5506290383490304</v>
      </c>
      <c r="L17">
        <v>0.809889243790892</v>
      </c>
      <c r="M17">
        <v>5.6094031151783597</v>
      </c>
      <c r="N17" s="4">
        <v>6.1828688919800402E-2</v>
      </c>
      <c r="O17" s="4">
        <f t="shared" si="1"/>
        <v>3.5425229279318398</v>
      </c>
      <c r="P17">
        <v>3840.98312805673</v>
      </c>
      <c r="Q17" s="10">
        <v>0.236549587445505</v>
      </c>
      <c r="R17" s="10">
        <v>7.8830176514174802E-2</v>
      </c>
      <c r="S17">
        <v>-3.7554627085443597E-2</v>
      </c>
      <c r="T17">
        <v>-0.34152648719436202</v>
      </c>
      <c r="U17">
        <v>0.678103936098573</v>
      </c>
      <c r="V17">
        <v>-1.1435625818795999E-3</v>
      </c>
      <c r="W17">
        <v>-0.27546835597484598</v>
      </c>
      <c r="X17">
        <v>-5.7768833512659198E-2</v>
      </c>
      <c r="Y17">
        <v>5.56773920703335</v>
      </c>
      <c r="Z17">
        <v>0.72830009352893799</v>
      </c>
      <c r="AA17">
        <v>5.6151706032650202</v>
      </c>
      <c r="AB17">
        <v>19.312211303560101</v>
      </c>
      <c r="AC17" s="8">
        <v>7.6647060562769098E-2</v>
      </c>
      <c r="AD17" s="4">
        <f t="shared" si="2"/>
        <v>4.3915530823302857</v>
      </c>
      <c r="AE17">
        <v>3844.9323583005298</v>
      </c>
      <c r="AF17" s="10">
        <v>0.15269444748576499</v>
      </c>
      <c r="AG17" s="10">
        <v>1.1726553171129099E-2</v>
      </c>
      <c r="AH17">
        <v>-3.81736118714412E-2</v>
      </c>
      <c r="AI17">
        <v>-1.0319465259939599E-2</v>
      </c>
      <c r="AJ17">
        <v>4.92079488189106E-2</v>
      </c>
      <c r="AK17">
        <v>-1.2532686597583199E-4</v>
      </c>
      <c r="AL17">
        <v>-1.2545842942774299E-2</v>
      </c>
      <c r="AM17">
        <v>1.40260493666049E-2</v>
      </c>
      <c r="AN17">
        <v>1.35552327620396E-2</v>
      </c>
      <c r="AO17">
        <v>5.9614347054112596E-4</v>
      </c>
      <c r="AP17">
        <v>-1.2532686597583199E-4</v>
      </c>
      <c r="AQ17">
        <v>-5.4130146531431098</v>
      </c>
      <c r="AR17">
        <v>1.3794136141151301</v>
      </c>
      <c r="AS17">
        <v>-4.7369043231546604</v>
      </c>
    </row>
    <row r="18" spans="1:45" x14ac:dyDescent="0.2">
      <c r="A18">
        <v>14</v>
      </c>
      <c r="B18">
        <v>-7.6812119038011897</v>
      </c>
      <c r="C18">
        <v>0.17017085249650901</v>
      </c>
      <c r="D18">
        <v>0.20959031338474099</v>
      </c>
      <c r="E18" s="4">
        <f t="shared" si="0"/>
        <v>3.5155271641029273</v>
      </c>
      <c r="F18">
        <v>0</v>
      </c>
      <c r="G18">
        <v>5.4970888976343</v>
      </c>
      <c r="H18">
        <v>0.82086996095749298</v>
      </c>
      <c r="I18">
        <v>0.24009283580808</v>
      </c>
      <c r="J18">
        <v>0.01</v>
      </c>
      <c r="K18">
        <v>5.4965893624100097</v>
      </c>
      <c r="L18">
        <v>0.82321834796570303</v>
      </c>
      <c r="M18">
        <v>5.5578937617938697</v>
      </c>
      <c r="N18" s="4">
        <v>6.0926378203955897E-2</v>
      </c>
      <c r="O18" s="4">
        <f t="shared" si="1"/>
        <v>3.4908243321045216</v>
      </c>
      <c r="P18">
        <v>3805.7126093893198</v>
      </c>
      <c r="Q18" s="10">
        <v>0.23309649373909999</v>
      </c>
      <c r="R18" s="10">
        <v>7.9080659097814907E-2</v>
      </c>
      <c r="S18">
        <v>-3.75075181206578E-2</v>
      </c>
      <c r="T18">
        <v>-0.33700653212097498</v>
      </c>
      <c r="U18">
        <v>0.65411668844702597</v>
      </c>
      <c r="V18">
        <v>-1.12124879638836E-3</v>
      </c>
      <c r="W18">
        <v>-0.27530115467284599</v>
      </c>
      <c r="X18">
        <v>-5.8560460250031497E-2</v>
      </c>
      <c r="Y18">
        <v>5.5110758839143399</v>
      </c>
      <c r="Z18">
        <v>0.75511512472759201</v>
      </c>
      <c r="AA18">
        <v>5.5625674153088296</v>
      </c>
      <c r="AB18">
        <v>18.952070703036501</v>
      </c>
      <c r="AC18" s="8">
        <v>7.3420524265242995E-2</v>
      </c>
      <c r="AD18" s="4">
        <f t="shared" si="2"/>
        <v>4.2066861700362734</v>
      </c>
      <c r="AE18">
        <v>3808.91284726289</v>
      </c>
      <c r="AF18" s="10">
        <v>0.146313912199763</v>
      </c>
      <c r="AG18" s="10">
        <v>1.07617884974318E-2</v>
      </c>
      <c r="AH18">
        <v>-3.6578478049940903E-2</v>
      </c>
      <c r="AI18">
        <v>-9.8344432719649003E-3</v>
      </c>
      <c r="AJ18">
        <v>4.6233128156886898E-2</v>
      </c>
      <c r="AK18">
        <v>-1.17850443376031E-4</v>
      </c>
      <c r="AL18">
        <v>-1.21529915568788E-2</v>
      </c>
      <c r="AM18">
        <v>1.31860926466617E-2</v>
      </c>
      <c r="AN18">
        <v>1.2728033565728601E-2</v>
      </c>
      <c r="AO18">
        <v>5.7590952430908995E-4</v>
      </c>
      <c r="AP18">
        <v>-1.17850443376031E-4</v>
      </c>
      <c r="AQ18">
        <v>-5.3360150060452298</v>
      </c>
      <c r="AR18">
        <v>0.96461256313712496</v>
      </c>
      <c r="AS18">
        <v>-3.3060936229313298</v>
      </c>
    </row>
    <row r="19" spans="1:45" x14ac:dyDescent="0.2">
      <c r="A19">
        <v>15</v>
      </c>
      <c r="B19">
        <v>-7.6262410148248501</v>
      </c>
      <c r="C19">
        <v>0.178379552106084</v>
      </c>
      <c r="D19">
        <v>0.211991241742822</v>
      </c>
      <c r="E19" s="4">
        <f t="shared" si="0"/>
        <v>3.4718281679891114</v>
      </c>
      <c r="F19">
        <v>0</v>
      </c>
      <c r="G19">
        <v>5.4437287475738501</v>
      </c>
      <c r="H19">
        <v>0.830516086588864</v>
      </c>
      <c r="I19">
        <v>0.207031899578767</v>
      </c>
      <c r="J19">
        <v>0.01</v>
      </c>
      <c r="K19">
        <v>5.4432931380036802</v>
      </c>
      <c r="L19">
        <v>0.83254005917926699</v>
      </c>
      <c r="M19">
        <v>5.5065926975196904</v>
      </c>
      <c r="N19" s="4">
        <v>6.0219579094060102E-2</v>
      </c>
      <c r="O19" s="4">
        <f t="shared" si="1"/>
        <v>3.4503277261438892</v>
      </c>
      <c r="P19">
        <v>3770.5847146236001</v>
      </c>
      <c r="Q19" s="10">
        <v>0.23034923402037399</v>
      </c>
      <c r="R19" s="10">
        <v>7.9398101354435896E-2</v>
      </c>
      <c r="S19">
        <v>-3.7462825322255401E-2</v>
      </c>
      <c r="T19">
        <v>-0.33250972302060999</v>
      </c>
      <c r="U19">
        <v>0.63295593861383403</v>
      </c>
      <c r="V19">
        <v>-1.0993338895244E-3</v>
      </c>
      <c r="W19">
        <v>-0.275159761857799</v>
      </c>
      <c r="X19">
        <v>-5.9221269179722001E-2</v>
      </c>
      <c r="Y19">
        <v>5.4559258155383699</v>
      </c>
      <c r="Z19">
        <v>0.77384485405757797</v>
      </c>
      <c r="AA19">
        <v>5.51053194916883</v>
      </c>
      <c r="AB19">
        <v>18.599151947221401</v>
      </c>
      <c r="AC19" s="8">
        <v>7.1095405953778598E-2</v>
      </c>
      <c r="AD19" s="4">
        <f t="shared" si="2"/>
        <v>4.0734667039207784</v>
      </c>
      <c r="AE19">
        <v>3773.2820781061</v>
      </c>
      <c r="AF19" s="10">
        <v>0.14171215502501899</v>
      </c>
      <c r="AG19" s="10">
        <v>1.0092092607516799E-2</v>
      </c>
      <c r="AH19">
        <v>-3.54280387562547E-2</v>
      </c>
      <c r="AI19">
        <v>-9.4516552460756301E-3</v>
      </c>
      <c r="AJ19">
        <v>4.3915216956510197E-2</v>
      </c>
      <c r="AK19">
        <v>-1.12018350923337E-4</v>
      </c>
      <c r="AL19">
        <v>-1.1802097903542599E-2</v>
      </c>
      <c r="AM19">
        <v>1.2531421308285299E-2</v>
      </c>
      <c r="AN19">
        <v>1.20837006396869E-2</v>
      </c>
      <c r="AO19">
        <v>5.5973901952177695E-4</v>
      </c>
      <c r="AP19">
        <v>-1.12018350923337E-4</v>
      </c>
      <c r="AQ19">
        <v>-5.2609442810259299</v>
      </c>
      <c r="AR19">
        <v>0.60340239338990997</v>
      </c>
      <c r="AS19">
        <v>-2.3339550033590402</v>
      </c>
    </row>
    <row r="20" spans="1:45" x14ac:dyDescent="0.2">
      <c r="A20">
        <v>16</v>
      </c>
      <c r="B20">
        <v>-7.5718037273491099</v>
      </c>
      <c r="C20">
        <v>0.186684712971973</v>
      </c>
      <c r="D20">
        <v>0.21406156073860899</v>
      </c>
      <c r="E20" s="4">
        <f t="shared" si="0"/>
        <v>3.4444743750519247</v>
      </c>
      <c r="F20">
        <v>0</v>
      </c>
      <c r="G20">
        <v>5.3911193047635901</v>
      </c>
      <c r="H20">
        <v>0.83655011052276296</v>
      </c>
      <c r="I20">
        <v>0.18369234954517599</v>
      </c>
      <c r="J20">
        <v>0.01</v>
      </c>
      <c r="K20">
        <v>5.3907290861842601</v>
      </c>
      <c r="L20">
        <v>0.83834510840256404</v>
      </c>
      <c r="M20">
        <v>5.4555277106267601</v>
      </c>
      <c r="N20" s="4">
        <v>5.9781346600416702E-2</v>
      </c>
      <c r="O20" s="4">
        <f t="shared" si="1"/>
        <v>3.4252188538126287</v>
      </c>
      <c r="P20">
        <v>3735.6184715023901</v>
      </c>
      <c r="Q20" s="10">
        <v>0.22859713401845599</v>
      </c>
      <c r="R20" s="10">
        <v>7.9801639781368602E-2</v>
      </c>
      <c r="S20">
        <v>-3.7419899008794E-2</v>
      </c>
      <c r="T20">
        <v>-0.32830177428758001</v>
      </c>
      <c r="U20">
        <v>0.61528512390434498</v>
      </c>
      <c r="V20">
        <v>-1.0778028388726E-3</v>
      </c>
      <c r="W20">
        <v>-0.27503656532931903</v>
      </c>
      <c r="X20">
        <v>-5.9790810336947699E-2</v>
      </c>
      <c r="Y20">
        <v>5.4020454249847996</v>
      </c>
      <c r="Z20">
        <v>0.78629016988834299</v>
      </c>
      <c r="AA20">
        <v>5.4589694086762597</v>
      </c>
      <c r="AB20">
        <v>18.252712540478701</v>
      </c>
      <c r="AC20" s="8">
        <v>6.9522462049062206E-2</v>
      </c>
      <c r="AD20" s="4">
        <f t="shared" si="2"/>
        <v>3.9833436567697018</v>
      </c>
      <c r="AE20">
        <v>3737.97514009414</v>
      </c>
      <c r="AF20" s="10">
        <v>0.13859731970886499</v>
      </c>
      <c r="AG20" s="10">
        <v>9.6511811641725107E-3</v>
      </c>
      <c r="AH20">
        <v>-3.4649329927216199E-2</v>
      </c>
      <c r="AI20">
        <v>-9.1579547735406008E-3</v>
      </c>
      <c r="AJ20">
        <v>4.2126408590320803E-2</v>
      </c>
      <c r="AK20">
        <v>-1.07515524009886E-4</v>
      </c>
      <c r="AL20">
        <v>-1.15044995297045E-2</v>
      </c>
      <c r="AM20">
        <v>1.20263487412706E-2</v>
      </c>
      <c r="AN20">
        <v>1.1586302728341401E-2</v>
      </c>
      <c r="AO20">
        <v>5.4756153693911102E-4</v>
      </c>
      <c r="AP20">
        <v>-1.07515524009886E-4</v>
      </c>
      <c r="AQ20">
        <v>-5.1916881394018501</v>
      </c>
      <c r="AR20">
        <v>0.304023576841018</v>
      </c>
      <c r="AS20">
        <v>-1.67000341743221</v>
      </c>
    </row>
    <row r="22" spans="1:45" x14ac:dyDescent="0.2">
      <c r="A22" s="2" t="s">
        <v>45</v>
      </c>
    </row>
    <row r="24" spans="1:45" s="2" customFormat="1" x14ac:dyDescent="0.2">
      <c r="A24" s="2" t="s">
        <v>0</v>
      </c>
      <c r="B24" s="2" t="s">
        <v>1</v>
      </c>
      <c r="C24" s="2" t="s">
        <v>2</v>
      </c>
      <c r="D24" s="2" t="s">
        <v>3</v>
      </c>
      <c r="E24" s="5" t="s">
        <v>47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23</v>
      </c>
      <c r="K24" s="2" t="s">
        <v>24</v>
      </c>
      <c r="L24" s="2" t="s">
        <v>25</v>
      </c>
      <c r="M24" s="2" t="s">
        <v>26</v>
      </c>
      <c r="N24" s="5" t="s">
        <v>27</v>
      </c>
      <c r="O24" s="5"/>
      <c r="P24" s="2" t="s">
        <v>28</v>
      </c>
      <c r="Q24" s="11" t="s">
        <v>29</v>
      </c>
      <c r="R24" s="11" t="s">
        <v>30</v>
      </c>
      <c r="S24" s="2" t="s">
        <v>31</v>
      </c>
      <c r="T24" s="2" t="s">
        <v>32</v>
      </c>
      <c r="U24" s="2" t="s">
        <v>33</v>
      </c>
      <c r="V24" s="2" t="s">
        <v>34</v>
      </c>
      <c r="W24" s="2" t="s">
        <v>8</v>
      </c>
      <c r="X24" s="2" t="s">
        <v>9</v>
      </c>
      <c r="Y24" s="2" t="s">
        <v>10</v>
      </c>
      <c r="Z24" s="2" t="s">
        <v>11</v>
      </c>
      <c r="AA24" s="2" t="s">
        <v>12</v>
      </c>
      <c r="AB24" s="2" t="s">
        <v>13</v>
      </c>
      <c r="AC24" s="5" t="s">
        <v>35</v>
      </c>
      <c r="AD24" s="5"/>
      <c r="AE24" s="2" t="s">
        <v>36</v>
      </c>
      <c r="AF24" s="11" t="s">
        <v>14</v>
      </c>
      <c r="AG24" s="11" t="s">
        <v>15</v>
      </c>
      <c r="AH24" s="2" t="s">
        <v>37</v>
      </c>
      <c r="AI24" s="2" t="s">
        <v>16</v>
      </c>
      <c r="AJ24" s="2" t="s">
        <v>17</v>
      </c>
      <c r="AK24" s="2" t="s">
        <v>38</v>
      </c>
      <c r="AL24" s="2" t="s">
        <v>39</v>
      </c>
      <c r="AM24" s="2" t="s">
        <v>21</v>
      </c>
      <c r="AN24" s="2" t="s">
        <v>18</v>
      </c>
      <c r="AO24" s="2" t="s">
        <v>19</v>
      </c>
      <c r="AP24" s="2" t="s">
        <v>20</v>
      </c>
      <c r="AQ24" s="2" t="s">
        <v>40</v>
      </c>
      <c r="AR24" s="2" t="s">
        <v>41</v>
      </c>
      <c r="AS24" s="2" t="s">
        <v>22</v>
      </c>
    </row>
    <row r="25" spans="1:45" x14ac:dyDescent="0.2">
      <c r="A25">
        <v>0</v>
      </c>
      <c r="B25">
        <v>-8.5</v>
      </c>
      <c r="C25">
        <v>0</v>
      </c>
      <c r="D25">
        <v>0</v>
      </c>
      <c r="E25" s="4">
        <f>DEGREES(D25-ATAN2(G25,H25))</f>
        <v>-26.565051177077994</v>
      </c>
      <c r="F25">
        <v>0</v>
      </c>
      <c r="G25">
        <v>6</v>
      </c>
      <c r="H25">
        <v>3</v>
      </c>
      <c r="I25">
        <v>0</v>
      </c>
      <c r="J25">
        <v>0.01</v>
      </c>
      <c r="K25">
        <v>6</v>
      </c>
      <c r="L25">
        <v>3</v>
      </c>
      <c r="M25">
        <v>6.7082039324994396</v>
      </c>
      <c r="N25" s="4">
        <v>-0.46364754233414801</v>
      </c>
      <c r="O25" s="4">
        <f>DEGREES(N25)</f>
        <v>-26.565047357359848</v>
      </c>
      <c r="P25">
        <v>4593.3760856969302</v>
      </c>
      <c r="Q25" s="10">
        <v>-0.72713423449400005</v>
      </c>
      <c r="R25" s="10">
        <v>0.29542618865846798</v>
      </c>
      <c r="S25">
        <v>7.7126561525364901E-2</v>
      </c>
      <c r="T25">
        <v>0.265416999279945</v>
      </c>
      <c r="U25">
        <v>-3.4076341143877298</v>
      </c>
      <c r="V25">
        <v>3.35876534622781E-3</v>
      </c>
      <c r="W25">
        <v>-0.281460571428571</v>
      </c>
      <c r="X25">
        <v>0</v>
      </c>
      <c r="Y25">
        <v>6</v>
      </c>
      <c r="Z25">
        <v>3</v>
      </c>
      <c r="AA25">
        <v>6.7082039324994396</v>
      </c>
      <c r="AB25">
        <v>27.5625000000006</v>
      </c>
      <c r="AC25" s="8">
        <v>-0.46364754233414801</v>
      </c>
      <c r="AD25" s="4">
        <f>DEGREES(AC25)</f>
        <v>-26.565047357359848</v>
      </c>
      <c r="AE25">
        <v>4593.3760856969302</v>
      </c>
      <c r="AF25" s="10">
        <v>-0.79999992000000297</v>
      </c>
      <c r="AG25" s="10">
        <v>0.39999989333335201</v>
      </c>
      <c r="AH25">
        <v>0.19999997999999999</v>
      </c>
      <c r="AI25" s="1">
        <v>2.7939661919530499E-8</v>
      </c>
      <c r="AJ25">
        <v>-0.41909498480356899</v>
      </c>
      <c r="AK25">
        <v>9.3712490628752399E-4</v>
      </c>
      <c r="AL25">
        <v>5.6311452264319203E-2</v>
      </c>
      <c r="AM25">
        <v>-0.117021588999373</v>
      </c>
      <c r="AN25">
        <v>-0.117958713905661</v>
      </c>
      <c r="AO25">
        <v>0</v>
      </c>
      <c r="AP25">
        <v>9.3712490628752399E-4</v>
      </c>
      <c r="AQ25">
        <v>4.0833388803016497</v>
      </c>
      <c r="AR25">
        <v>-68.682755372173801</v>
      </c>
      <c r="AS25">
        <v>194.282435564205</v>
      </c>
    </row>
    <row r="26" spans="1:45" x14ac:dyDescent="0.2">
      <c r="A26">
        <v>1</v>
      </c>
      <c r="B26">
        <v>-8.44</v>
      </c>
      <c r="C26">
        <v>0.03</v>
      </c>
      <c r="D26">
        <v>0</v>
      </c>
      <c r="E26" s="4">
        <f t="shared" ref="E26:E41" si="3">DEGREES(D26-ATAN2(G26,H26))</f>
        <v>-20.952979134258108</v>
      </c>
      <c r="F26">
        <v>0</v>
      </c>
      <c r="G26">
        <v>6.0408333888030104</v>
      </c>
      <c r="H26">
        <v>2.3131724462782599</v>
      </c>
      <c r="I26">
        <v>1.9428243556420499</v>
      </c>
      <c r="J26">
        <v>0.01</v>
      </c>
      <c r="K26">
        <v>6.0408333888030104</v>
      </c>
      <c r="L26">
        <v>2.3326006898346798</v>
      </c>
      <c r="M26">
        <v>6.4755458464515199</v>
      </c>
      <c r="N26" s="4">
        <v>-0.36850027628633197</v>
      </c>
      <c r="O26" s="4">
        <f t="shared" ref="O26:O41" si="4">DEGREES(N26)</f>
        <v>-21.113510580611596</v>
      </c>
      <c r="P26">
        <v>4434.06576964958</v>
      </c>
      <c r="Q26" s="10">
        <v>-0.51573261649839097</v>
      </c>
      <c r="R26" s="10">
        <v>0.22134789439415301</v>
      </c>
      <c r="S26">
        <v>2.1773078762282599E-2</v>
      </c>
      <c r="T26">
        <v>-8.4053803980295702E-2</v>
      </c>
      <c r="U26">
        <v>-2.27592541814857</v>
      </c>
      <c r="V26">
        <v>8.8355947524082696E-4</v>
      </c>
      <c r="W26">
        <v>-0.281460571428571</v>
      </c>
      <c r="X26">
        <v>0</v>
      </c>
      <c r="Y26">
        <v>6.0408333888030104</v>
      </c>
      <c r="Z26">
        <v>1.7691816266984799</v>
      </c>
      <c r="AA26">
        <v>6.2945747798819403</v>
      </c>
      <c r="AB26">
        <v>24.268273891459501</v>
      </c>
      <c r="AC26" s="8">
        <v>-0.28490311710424499</v>
      </c>
      <c r="AD26" s="4">
        <f t="shared" ref="AD26:AD41" si="5">DEGREES(AC26)</f>
        <v>-16.323746180194693</v>
      </c>
      <c r="AE26">
        <v>4310.1476273646604</v>
      </c>
      <c r="AF26" s="10">
        <v>-0.53946890699587302</v>
      </c>
      <c r="AG26" s="10">
        <v>0.15799447841200101</v>
      </c>
      <c r="AH26">
        <v>0.13486722674896801</v>
      </c>
      <c r="AI26" s="1">
        <v>1.03553151573626E-8</v>
      </c>
      <c r="AJ26">
        <v>-0.231912288600893</v>
      </c>
      <c r="AK26">
        <v>5.5640911561334301E-4</v>
      </c>
      <c r="AL26">
        <v>3.6250139944459303E-2</v>
      </c>
      <c r="AM26">
        <v>-6.4717756155301898E-2</v>
      </c>
      <c r="AN26">
        <v>-6.5274165270915299E-2</v>
      </c>
      <c r="AO26">
        <v>0</v>
      </c>
      <c r="AP26">
        <v>5.5640911561334301E-4</v>
      </c>
      <c r="AQ26">
        <v>-1.29313528653816</v>
      </c>
      <c r="AR26">
        <v>-48.3921185653764</v>
      </c>
      <c r="AS26">
        <v>91.101060046798594</v>
      </c>
    </row>
    <row r="27" spans="1:45" x14ac:dyDescent="0.2">
      <c r="A27">
        <v>2</v>
      </c>
      <c r="B27">
        <v>-8.3795916661119598</v>
      </c>
      <c r="C27">
        <v>5.3131724462782602E-2</v>
      </c>
      <c r="D27">
        <v>1.9428243556420501E-2</v>
      </c>
      <c r="E27" s="4">
        <f t="shared" si="3"/>
        <v>-15.767998741736918</v>
      </c>
      <c r="F27">
        <v>0</v>
      </c>
      <c r="G27">
        <v>6.0279020359376299</v>
      </c>
      <c r="H27">
        <v>1.8292512606244899</v>
      </c>
      <c r="I27">
        <v>2.8538349561100298</v>
      </c>
      <c r="J27">
        <v>0.01</v>
      </c>
      <c r="K27">
        <v>6.0273476208111401</v>
      </c>
      <c r="L27">
        <v>1.8577842243601299</v>
      </c>
      <c r="M27">
        <v>6.3071611336939899</v>
      </c>
      <c r="N27" s="4">
        <v>-0.27955794823733898</v>
      </c>
      <c r="O27" s="4">
        <f t="shared" si="4"/>
        <v>-16.017490563336256</v>
      </c>
      <c r="P27">
        <v>4318.76600825888</v>
      </c>
      <c r="Q27" s="10">
        <v>-0.33440306503586997</v>
      </c>
      <c r="R27" s="10">
        <v>0.17042966607361601</v>
      </c>
      <c r="S27">
        <v>-1.03682805314457E-2</v>
      </c>
      <c r="T27">
        <v>-0.24780642003037401</v>
      </c>
      <c r="U27">
        <v>-1.42350866782661</v>
      </c>
      <c r="V27">
        <v>-3.9915150581560201E-4</v>
      </c>
      <c r="W27">
        <v>-0.28140745351753799</v>
      </c>
      <c r="X27">
        <v>-5.4679405330111397E-3</v>
      </c>
      <c r="Y27">
        <v>6.0434256594793396</v>
      </c>
      <c r="Z27">
        <v>1.0303282760267001</v>
      </c>
      <c r="AA27">
        <v>6.1306255845577802</v>
      </c>
      <c r="AB27">
        <v>23.0205491605461</v>
      </c>
      <c r="AC27" s="8">
        <v>-0.14943561378095199</v>
      </c>
      <c r="AD27" s="4">
        <f t="shared" si="5"/>
        <v>-8.562029978595552</v>
      </c>
      <c r="AE27">
        <v>4197.8850425283799</v>
      </c>
      <c r="AF27" s="10">
        <v>-0.29444166112715198</v>
      </c>
      <c r="AG27" s="10">
        <v>4.4330544491096802E-2</v>
      </c>
      <c r="AH27">
        <v>7.3610415281787994E-2</v>
      </c>
      <c r="AI27">
        <v>2.2637995121713599E-3</v>
      </c>
      <c r="AJ27">
        <v>-0.116506233569036</v>
      </c>
      <c r="AK27">
        <v>2.8807387123284402E-4</v>
      </c>
      <c r="AL27">
        <v>2.1642376128767401E-2</v>
      </c>
      <c r="AM27">
        <v>-3.25100269574604E-2</v>
      </c>
      <c r="AN27">
        <v>-3.2785722507582098E-2</v>
      </c>
      <c r="AO27" s="1">
        <v>-1.2378321111212601E-5</v>
      </c>
      <c r="AP27">
        <v>2.8807387123284402E-4</v>
      </c>
      <c r="AQ27">
        <v>-3.77757877720313</v>
      </c>
      <c r="AR27">
        <v>-33.502536944548403</v>
      </c>
      <c r="AS27">
        <v>34.778272384300102</v>
      </c>
    </row>
    <row r="28" spans="1:45" x14ac:dyDescent="0.2">
      <c r="A28">
        <v>3</v>
      </c>
      <c r="B28">
        <v>-8.3193126457525892</v>
      </c>
      <c r="C28">
        <v>7.1424237069027494E-2</v>
      </c>
      <c r="D28">
        <v>4.79665931175208E-2</v>
      </c>
      <c r="E28" s="4">
        <f t="shared" si="3"/>
        <v>-11.258197331624624</v>
      </c>
      <c r="F28">
        <v>0</v>
      </c>
      <c r="G28">
        <v>5.9901262481656001</v>
      </c>
      <c r="H28">
        <v>1.4942258911790101</v>
      </c>
      <c r="I28">
        <v>3.20161767995303</v>
      </c>
      <c r="J28">
        <v>0.01</v>
      </c>
      <c r="K28">
        <v>5.9885911300630301</v>
      </c>
      <c r="L28">
        <v>1.5262052437251401</v>
      </c>
      <c r="M28">
        <v>6.1800102078430896</v>
      </c>
      <c r="N28" s="4">
        <v>-0.20157350727522799</v>
      </c>
      <c r="O28" s="4">
        <f t="shared" si="4"/>
        <v>-11.549311228520159</v>
      </c>
      <c r="P28">
        <v>4231.70067334141</v>
      </c>
      <c r="Q28" s="10">
        <v>-0.17662993981198499</v>
      </c>
      <c r="R28" s="10">
        <v>0.12806699026969201</v>
      </c>
      <c r="S28">
        <v>-3.2708172043869797E-2</v>
      </c>
      <c r="T28">
        <v>-0.29746070474126102</v>
      </c>
      <c r="U28">
        <v>-0.74951449664131198</v>
      </c>
      <c r="V28">
        <v>-1.20892076786266E-3</v>
      </c>
      <c r="W28">
        <v>-0.28113684210048301</v>
      </c>
      <c r="X28">
        <v>-1.3495528247017699E-2</v>
      </c>
      <c r="Y28">
        <v>6.0331095550375498</v>
      </c>
      <c r="Z28">
        <v>0.59880401988724896</v>
      </c>
      <c r="AA28">
        <v>6.0627532654165899</v>
      </c>
      <c r="AB28">
        <v>22.5136485088582</v>
      </c>
      <c r="AC28" s="8">
        <v>-5.0962351268663102E-2</v>
      </c>
      <c r="AD28" s="4">
        <f t="shared" si="5"/>
        <v>-2.9199276417575724</v>
      </c>
      <c r="AE28">
        <v>4151.4101454082302</v>
      </c>
      <c r="AF28" s="10">
        <v>-0.101748317590605</v>
      </c>
      <c r="AG28" s="10">
        <v>5.1898272195437202E-3</v>
      </c>
      <c r="AH28">
        <v>2.5437079397651299E-2</v>
      </c>
      <c r="AI28">
        <v>1.86964314390721E-3</v>
      </c>
      <c r="AJ28">
        <v>-3.8948115325297197E-2</v>
      </c>
      <c r="AK28" s="1">
        <v>9.7355848990609103E-5</v>
      </c>
      <c r="AL28">
        <v>1.0203075780454001E-2</v>
      </c>
      <c r="AM28">
        <v>-1.08776261211893E-2</v>
      </c>
      <c r="AN28">
        <v>-1.09497501483194E-2</v>
      </c>
      <c r="AO28" s="1">
        <v>-2.52318218604429E-5</v>
      </c>
      <c r="AP28" s="1">
        <v>9.7355848990609103E-5</v>
      </c>
      <c r="AQ28">
        <v>-4.5475547938054399</v>
      </c>
      <c r="AR28">
        <v>-21.940194030255501</v>
      </c>
      <c r="AS28">
        <v>2.1586721782665399</v>
      </c>
    </row>
    <row r="29" spans="1:45" x14ac:dyDescent="0.2">
      <c r="A29">
        <v>4</v>
      </c>
      <c r="B29">
        <v>-8.2594113832709297</v>
      </c>
      <c r="C29">
        <v>8.6366495980817706E-2</v>
      </c>
      <c r="D29">
        <v>7.9982769917051194E-2</v>
      </c>
      <c r="E29" s="4">
        <f t="shared" si="3"/>
        <v>-7.5210223569826891</v>
      </c>
      <c r="F29">
        <v>0</v>
      </c>
      <c r="G29">
        <v>5.9446507002275402</v>
      </c>
      <c r="H29">
        <v>1.2748239508764501</v>
      </c>
      <c r="I29">
        <v>3.2232044017357002</v>
      </c>
      <c r="J29">
        <v>0.01</v>
      </c>
      <c r="K29">
        <v>5.9420754398788604</v>
      </c>
      <c r="L29">
        <v>1.30695295172729</v>
      </c>
      <c r="M29">
        <v>6.0841093474099601</v>
      </c>
      <c r="N29" s="4">
        <v>-0.136518757489243</v>
      </c>
      <c r="O29" s="4">
        <f t="shared" si="4"/>
        <v>-7.8219486285036233</v>
      </c>
      <c r="P29">
        <v>4166.0335106636103</v>
      </c>
      <c r="Q29" s="10">
        <v>-7.7580647432456296E-2</v>
      </c>
      <c r="R29" s="10">
        <v>9.9918371003721806E-2</v>
      </c>
      <c r="S29">
        <v>-4.2035703353420897E-2</v>
      </c>
      <c r="T29">
        <v>-0.28987778919699603</v>
      </c>
      <c r="U29">
        <v>-0.348315416827986</v>
      </c>
      <c r="V29">
        <v>-1.50582852680539E-3</v>
      </c>
      <c r="W29">
        <v>-0.28056076536868402</v>
      </c>
      <c r="X29">
        <v>-2.2488001348181599E-2</v>
      </c>
      <c r="Y29">
        <v>6.0167579899905999</v>
      </c>
      <c r="Z29">
        <v>0.37521192705290202</v>
      </c>
      <c r="AA29">
        <v>6.0284459606369101</v>
      </c>
      <c r="AB29">
        <v>22.2595734289457</v>
      </c>
      <c r="AC29" s="8">
        <v>1.7702284557617701E-2</v>
      </c>
      <c r="AD29" s="4">
        <f t="shared" si="5"/>
        <v>1.0142661928911059</v>
      </c>
      <c r="AE29">
        <v>4127.9185588486398</v>
      </c>
      <c r="AF29" s="10">
        <v>3.5397173071505902E-2</v>
      </c>
      <c r="AG29" s="10">
        <v>6.2667629231474603E-4</v>
      </c>
      <c r="AH29">
        <v>-8.8492932678764704E-3</v>
      </c>
      <c r="AI29">
        <v>-1.0703744623051701E-3</v>
      </c>
      <c r="AJ29">
        <v>1.3354011981575801E-2</v>
      </c>
      <c r="AK29" s="1">
        <v>-3.3486853859397098E-5</v>
      </c>
      <c r="AL29">
        <v>3.5295891221851301E-3</v>
      </c>
      <c r="AM29">
        <v>3.7371955507854802E-3</v>
      </c>
      <c r="AN29">
        <v>3.7466118222935002E-3</v>
      </c>
      <c r="AO29" s="1">
        <v>2.4070582351377798E-5</v>
      </c>
      <c r="AP29" s="1">
        <v>-3.3486853859397098E-5</v>
      </c>
      <c r="AQ29">
        <v>-4.4761255947584804</v>
      </c>
      <c r="AR29">
        <v>-14.963252382252399</v>
      </c>
      <c r="AS29">
        <v>-23.254907679530501</v>
      </c>
    </row>
    <row r="30" spans="1:45" x14ac:dyDescent="0.2">
      <c r="A30">
        <v>5</v>
      </c>
      <c r="B30">
        <v>-8.1999648762686608</v>
      </c>
      <c r="C30">
        <v>9.9114735489582204E-2</v>
      </c>
      <c r="D30">
        <v>0.11221481393440801</v>
      </c>
      <c r="E30" s="4">
        <f t="shared" si="3"/>
        <v>-4.3680096678678701</v>
      </c>
      <c r="F30">
        <v>0</v>
      </c>
      <c r="G30">
        <v>5.8998894442799603</v>
      </c>
      <c r="H30">
        <v>1.12519142705393</v>
      </c>
      <c r="I30">
        <v>2.99065532494039</v>
      </c>
      <c r="J30">
        <v>0.01</v>
      </c>
      <c r="K30">
        <v>5.8965405246684002</v>
      </c>
      <c r="L30">
        <v>1.1549098836877201</v>
      </c>
      <c r="M30">
        <v>6.0085777850084696</v>
      </c>
      <c r="N30" s="4">
        <v>-8.1198991737015697E-2</v>
      </c>
      <c r="O30" s="4">
        <f t="shared" si="4"/>
        <v>-4.6523595272486444</v>
      </c>
      <c r="P30">
        <v>4114.3140227140202</v>
      </c>
      <c r="Q30" s="10">
        <v>-7.2116973970910006E-2</v>
      </c>
      <c r="R30" s="10">
        <v>7.7468526488043796E-2</v>
      </c>
      <c r="S30">
        <v>-4.2220517881540902E-2</v>
      </c>
      <c r="T30">
        <v>-0.217187300288368</v>
      </c>
      <c r="U30">
        <v>-0.29929352915097901</v>
      </c>
      <c r="V30">
        <v>-1.4751293757624699E-3</v>
      </c>
      <c r="W30">
        <v>-0.279690331291851</v>
      </c>
      <c r="X30">
        <v>-3.1517802124395498E-2</v>
      </c>
      <c r="Y30">
        <v>5.9936591934035803</v>
      </c>
      <c r="Z30">
        <v>0.29307464130766903</v>
      </c>
      <c r="AA30">
        <v>6.0008202166078801</v>
      </c>
      <c r="AB30">
        <v>22.056029004130501</v>
      </c>
      <c r="AC30" s="8">
        <v>6.3356288455554896E-2</v>
      </c>
      <c r="AD30" s="4">
        <f t="shared" si="5"/>
        <v>3.6300479341167162</v>
      </c>
      <c r="AE30">
        <v>4109.0021047203199</v>
      </c>
      <c r="AF30" s="10">
        <v>0.126373764540327</v>
      </c>
      <c r="AG30" s="10">
        <v>8.0173027537698196E-3</v>
      </c>
      <c r="AH30">
        <v>-3.1593441135081703E-2</v>
      </c>
      <c r="AI30">
        <v>-5.3167198421856399E-3</v>
      </c>
      <c r="AJ30">
        <v>4.7180797043369402E-2</v>
      </c>
      <c r="AK30">
        <v>-1.18460395182661E-4</v>
      </c>
      <c r="AL30">
        <v>2.7685426974056798E-3</v>
      </c>
      <c r="AM30">
        <v>1.32451236844277E-2</v>
      </c>
      <c r="AN30">
        <v>1.3196012755673499E-2</v>
      </c>
      <c r="AO30">
        <v>1.67571323936854E-4</v>
      </c>
      <c r="AP30">
        <v>-1.18460395182661E-4</v>
      </c>
      <c r="AQ30">
        <v>-3.42313877123929</v>
      </c>
      <c r="AR30">
        <v>-13.688657417040099</v>
      </c>
      <c r="AS30">
        <v>-51.246369622798497</v>
      </c>
    </row>
    <row r="31" spans="1:45" x14ac:dyDescent="0.2">
      <c r="A31">
        <v>6</v>
      </c>
      <c r="B31">
        <v>-8.1409659818258593</v>
      </c>
      <c r="C31">
        <v>0.11036664976012101</v>
      </c>
      <c r="D31">
        <v>0.14212136718381199</v>
      </c>
      <c r="E31" s="4">
        <f t="shared" si="3"/>
        <v>-1.4209845534887275</v>
      </c>
      <c r="F31">
        <v>0</v>
      </c>
      <c r="G31">
        <v>5.86565805656757</v>
      </c>
      <c r="H31">
        <v>0.98830485288352998</v>
      </c>
      <c r="I31">
        <v>2.4781916287124099</v>
      </c>
      <c r="J31">
        <v>0.01</v>
      </c>
      <c r="K31">
        <v>5.8621478614184399</v>
      </c>
      <c r="L31">
        <v>1.0128369116001701</v>
      </c>
      <c r="M31">
        <v>5.9490012740487499</v>
      </c>
      <c r="N31" s="4">
        <v>-2.8965288606853101E-2</v>
      </c>
      <c r="O31" s="4">
        <f t="shared" si="4"/>
        <v>-1.6595887895510508</v>
      </c>
      <c r="P31">
        <v>4073.5195979372302</v>
      </c>
      <c r="Q31" s="10">
        <v>-9.1485139568406898E-2</v>
      </c>
      <c r="R31" s="10">
        <v>6.3201916008750095E-2</v>
      </c>
      <c r="S31">
        <v>-3.6855804234627303E-2</v>
      </c>
      <c r="T31">
        <v>-0.15995622766446199</v>
      </c>
      <c r="U31">
        <v>-0.34560875539262398</v>
      </c>
      <c r="V31">
        <v>-1.2622843456118801E-3</v>
      </c>
      <c r="W31">
        <v>-0.27862281450344201</v>
      </c>
      <c r="X31">
        <v>-3.9867035343480198E-2</v>
      </c>
      <c r="Y31">
        <v>5.96394352074301</v>
      </c>
      <c r="Z31">
        <v>0.30140720881736499</v>
      </c>
      <c r="AA31">
        <v>5.9715549586469203</v>
      </c>
      <c r="AB31">
        <v>21.841424532286101</v>
      </c>
      <c r="AC31" s="8">
        <v>9.1626096652959496E-2</v>
      </c>
      <c r="AD31" s="4">
        <f t="shared" si="5"/>
        <v>5.2497886314723372</v>
      </c>
      <c r="AE31">
        <v>4088.96300969395</v>
      </c>
      <c r="AF31" s="10">
        <v>0.18222827088156399</v>
      </c>
      <c r="AG31" s="10">
        <v>1.67437479011306E-2</v>
      </c>
      <c r="AH31">
        <v>-4.5557067720390997E-2</v>
      </c>
      <c r="AI31">
        <v>-9.6242660405450407E-3</v>
      </c>
      <c r="AJ31">
        <v>6.7262085254055706E-2</v>
      </c>
      <c r="AK31">
        <v>-1.69155313609618E-4</v>
      </c>
      <c r="AL31">
        <v>3.7020579665053401E-3</v>
      </c>
      <c r="AM31">
        <v>1.89552871436393E-2</v>
      </c>
      <c r="AN31">
        <v>1.87407515028555E-2</v>
      </c>
      <c r="AO31">
        <v>3.8369095439346601E-4</v>
      </c>
      <c r="AP31">
        <v>-1.69155313609618E-4</v>
      </c>
      <c r="AQ31">
        <v>-2.6089306723847199</v>
      </c>
      <c r="AR31">
        <v>-14.0922564636702</v>
      </c>
      <c r="AS31">
        <v>-72.507235663594599</v>
      </c>
    </row>
    <row r="32" spans="1:45" x14ac:dyDescent="0.2">
      <c r="A32">
        <v>7</v>
      </c>
      <c r="B32">
        <v>-8.0823094012601793</v>
      </c>
      <c r="C32">
        <v>0.120249698288956</v>
      </c>
      <c r="D32">
        <v>0.166903283470936</v>
      </c>
      <c r="E32" s="4">
        <f t="shared" si="3"/>
        <v>1.3062701379661927</v>
      </c>
      <c r="F32">
        <v>0</v>
      </c>
      <c r="G32">
        <v>5.8395687498437203</v>
      </c>
      <c r="H32">
        <v>0.84738228824682704</v>
      </c>
      <c r="I32">
        <v>1.7531192720764599</v>
      </c>
      <c r="J32">
        <v>0.01</v>
      </c>
      <c r="K32">
        <v>5.8366563021567996</v>
      </c>
      <c r="L32">
        <v>0.86466986663952095</v>
      </c>
      <c r="M32">
        <v>5.9003568339365797</v>
      </c>
      <c r="N32" s="4">
        <v>1.982829855545E-2</v>
      </c>
      <c r="O32" s="4">
        <f t="shared" si="4"/>
        <v>1.136077822152632</v>
      </c>
      <c r="P32">
        <v>4040.21080020811</v>
      </c>
      <c r="Q32" s="10">
        <v>4.9401225619228099E-2</v>
      </c>
      <c r="R32" s="10">
        <v>6.5911498353923001E-2</v>
      </c>
      <c r="S32">
        <v>-3.61522246492667E-2</v>
      </c>
      <c r="T32">
        <v>-0.244058977028074</v>
      </c>
      <c r="U32">
        <v>0.13210035761646799</v>
      </c>
      <c r="V32">
        <v>-1.21802095847437E-3</v>
      </c>
      <c r="W32">
        <v>-0.27754938129569301</v>
      </c>
      <c r="X32">
        <v>-4.6758894461652198E-2</v>
      </c>
      <c r="Y32">
        <v>5.9211172850775604</v>
      </c>
      <c r="Z32">
        <v>0.36333009325140397</v>
      </c>
      <c r="AA32">
        <v>5.9322540960673003</v>
      </c>
      <c r="AB32">
        <v>21.5548786794382</v>
      </c>
      <c r="AC32" s="8">
        <v>0.10561838893713101</v>
      </c>
      <c r="AD32" s="4">
        <f t="shared" si="5"/>
        <v>6.0514879250688312</v>
      </c>
      <c r="AE32">
        <v>4062.0521339756501</v>
      </c>
      <c r="AF32" s="10">
        <v>0.20966934710125701</v>
      </c>
      <c r="AG32" s="10">
        <v>2.2227651809414099E-2</v>
      </c>
      <c r="AH32">
        <v>-5.2417336775314398E-2</v>
      </c>
      <c r="AI32">
        <v>-1.2835210350318199E-2</v>
      </c>
      <c r="AJ32">
        <v>7.6186670109202603E-2</v>
      </c>
      <c r="AK32">
        <v>-1.9207438693149699E-4</v>
      </c>
      <c r="AL32">
        <v>-3.8723118718081702E-3</v>
      </c>
      <c r="AM32">
        <v>2.15536490110203E-2</v>
      </c>
      <c r="AN32">
        <v>2.1145563151788199E-2</v>
      </c>
      <c r="AO32">
        <v>6.00160246163636E-4</v>
      </c>
      <c r="AP32">
        <v>-1.9207438693149699E-4</v>
      </c>
      <c r="AQ32">
        <v>-3.95221826735989</v>
      </c>
      <c r="AR32">
        <v>-6.60558418883583</v>
      </c>
      <c r="AS32">
        <v>-56.583190685757302</v>
      </c>
    </row>
    <row r="33" spans="1:45" x14ac:dyDescent="0.2">
      <c r="A33">
        <v>8</v>
      </c>
      <c r="B33">
        <v>-8.0239137137617398</v>
      </c>
      <c r="C33">
        <v>0.12872352117142499</v>
      </c>
      <c r="D33">
        <v>0.184434476191701</v>
      </c>
      <c r="E33" s="4">
        <f t="shared" si="3"/>
        <v>2.8951672270450346</v>
      </c>
      <c r="F33">
        <v>0</v>
      </c>
      <c r="G33">
        <v>5.8000465671701198</v>
      </c>
      <c r="H33">
        <v>0.78132644635846904</v>
      </c>
      <c r="I33">
        <v>1.18728736521889</v>
      </c>
      <c r="J33">
        <v>0.01</v>
      </c>
      <c r="K33">
        <v>5.7978691933876796</v>
      </c>
      <c r="L33">
        <v>0.79299795749338098</v>
      </c>
      <c r="M33">
        <v>5.8518486774884702</v>
      </c>
      <c r="N33" s="4">
        <v>4.8503902046934701E-2</v>
      </c>
      <c r="O33" s="4">
        <f t="shared" si="4"/>
        <v>2.7790688772053129</v>
      </c>
      <c r="P33">
        <v>4006.99532136577</v>
      </c>
      <c r="Q33" s="10">
        <v>0.164513632347661</v>
      </c>
      <c r="R33" s="10">
        <v>7.30315099655299E-2</v>
      </c>
      <c r="S33">
        <v>-3.6717067500025097E-2</v>
      </c>
      <c r="T33">
        <v>-0.313672717460102</v>
      </c>
      <c r="U33">
        <v>0.50736782326688001</v>
      </c>
      <c r="V33">
        <v>-1.2167947922523199E-3</v>
      </c>
      <c r="W33">
        <v>-0.27668703379670401</v>
      </c>
      <c r="X33">
        <v>-5.1617231596426602E-2</v>
      </c>
      <c r="Y33">
        <v>5.8610130330785397</v>
      </c>
      <c r="Z33">
        <v>0.45452413458093899</v>
      </c>
      <c r="AA33">
        <v>5.8786108871768397</v>
      </c>
      <c r="AB33">
        <v>21.166815402235901</v>
      </c>
      <c r="AC33" s="8">
        <v>0.10703895621312701</v>
      </c>
      <c r="AD33" s="4">
        <f t="shared" si="5"/>
        <v>6.1328804344977979</v>
      </c>
      <c r="AE33">
        <v>4025.3204789220899</v>
      </c>
      <c r="AF33" s="10">
        <v>0.21244647993666099</v>
      </c>
      <c r="AG33" s="10">
        <v>2.2827296143347199E-2</v>
      </c>
      <c r="AH33">
        <v>-5.3111619984165401E-2</v>
      </c>
      <c r="AI33">
        <v>-1.41001538633687E-2</v>
      </c>
      <c r="AJ33">
        <v>7.5581919898598596E-2</v>
      </c>
      <c r="AK33">
        <v>-1.9111465550615E-4</v>
      </c>
      <c r="AL33">
        <v>-9.8611856429760003E-3</v>
      </c>
      <c r="AM33">
        <v>2.14492334774079E-2</v>
      </c>
      <c r="AN33">
        <v>2.0912537225403299E-2</v>
      </c>
      <c r="AO33">
        <v>7.2781090751075303E-4</v>
      </c>
      <c r="AP33">
        <v>-1.9111465550615E-4</v>
      </c>
      <c r="AQ33">
        <v>-5.0426595588226304</v>
      </c>
      <c r="AR33">
        <v>-0.84154241283878395</v>
      </c>
      <c r="AS33">
        <v>-37.083661440808598</v>
      </c>
    </row>
    <row r="34" spans="1:45" x14ac:dyDescent="0.2">
      <c r="A34">
        <v>9</v>
      </c>
      <c r="B34">
        <v>-7.9659132480900396</v>
      </c>
      <c r="C34">
        <v>0.13653678563500901</v>
      </c>
      <c r="D34">
        <v>0.19630734984389001</v>
      </c>
      <c r="E34" s="4">
        <f t="shared" si="3"/>
        <v>3.591313034525812</v>
      </c>
      <c r="F34">
        <v>0</v>
      </c>
      <c r="G34">
        <v>5.7496199715818896</v>
      </c>
      <c r="H34">
        <v>0.77291102223008101</v>
      </c>
      <c r="I34">
        <v>0.81645075081080698</v>
      </c>
      <c r="J34">
        <v>0.01</v>
      </c>
      <c r="K34">
        <v>5.7480274930343596</v>
      </c>
      <c r="L34">
        <v>0.78091871821117298</v>
      </c>
      <c r="M34">
        <v>5.8008321907406097</v>
      </c>
      <c r="N34" s="4">
        <v>6.1275551845971103E-2</v>
      </c>
      <c r="O34" s="4">
        <f t="shared" si="4"/>
        <v>3.5108305081092048</v>
      </c>
      <c r="P34">
        <v>3972.0622882377002</v>
      </c>
      <c r="Q34" s="10">
        <v>0.209877210371299</v>
      </c>
      <c r="R34" s="10">
        <v>7.7085768931496601E-2</v>
      </c>
      <c r="S34">
        <v>-3.6769707827876502E-2</v>
      </c>
      <c r="T34">
        <v>-0.340748303914645</v>
      </c>
      <c r="U34">
        <v>0.64343867719080206</v>
      </c>
      <c r="V34">
        <v>-1.1973854135687799E-3</v>
      </c>
      <c r="W34">
        <v>-0.27605470194328902</v>
      </c>
      <c r="X34">
        <v>-5.4898586538268603E-2</v>
      </c>
      <c r="Y34">
        <v>5.7942093709128004</v>
      </c>
      <c r="Z34">
        <v>0.54869553475949595</v>
      </c>
      <c r="AA34">
        <v>5.8201313579540201</v>
      </c>
      <c r="AB34">
        <v>20.7477815271018</v>
      </c>
      <c r="AC34" s="8">
        <v>0.101891697844281</v>
      </c>
      <c r="AD34" s="4">
        <f t="shared" si="5"/>
        <v>5.8379642538995293</v>
      </c>
      <c r="AE34">
        <v>3985.2772015056898</v>
      </c>
      <c r="AF34" s="10">
        <v>0.20237587973117799</v>
      </c>
      <c r="AG34" s="10">
        <v>2.0692079423927302E-2</v>
      </c>
      <c r="AH34">
        <v>-5.0593969932794698E-2</v>
      </c>
      <c r="AI34">
        <v>-1.3995270182618501E-2</v>
      </c>
      <c r="AJ34">
        <v>7.0374486036265296E-2</v>
      </c>
      <c r="AK34">
        <v>-1.7845114790824499E-4</v>
      </c>
      <c r="AL34">
        <v>-1.2036806203874701E-2</v>
      </c>
      <c r="AM34">
        <v>2.0017077170492E-2</v>
      </c>
      <c r="AN34">
        <v>1.9427207767153301E-2</v>
      </c>
      <c r="AO34">
        <v>7.6832055124693305E-4</v>
      </c>
      <c r="AP34">
        <v>-1.7845114790824499E-4</v>
      </c>
      <c r="AQ34">
        <v>-5.4575934476502104</v>
      </c>
      <c r="AR34">
        <v>1.1717409727241199</v>
      </c>
      <c r="AS34">
        <v>-25.538181319257198</v>
      </c>
    </row>
    <row r="35" spans="1:45" x14ac:dyDescent="0.2">
      <c r="A35">
        <v>10</v>
      </c>
      <c r="B35">
        <v>-7.9084170483742202</v>
      </c>
      <c r="C35">
        <v>0.14426589585731001</v>
      </c>
      <c r="D35">
        <v>0.20447185735199799</v>
      </c>
      <c r="E35" s="4">
        <f t="shared" si="3"/>
        <v>3.8708963549486373</v>
      </c>
      <c r="F35">
        <v>0</v>
      </c>
      <c r="G35">
        <v>5.6950440371053901</v>
      </c>
      <c r="H35">
        <v>0.78462843195732201</v>
      </c>
      <c r="I35">
        <v>0.56106893761823395</v>
      </c>
      <c r="J35">
        <v>0.01</v>
      </c>
      <c r="K35">
        <v>5.6939047863600596</v>
      </c>
      <c r="L35">
        <v>0.79012224147488497</v>
      </c>
      <c r="M35">
        <v>5.7484645665262901</v>
      </c>
      <c r="N35" s="4">
        <v>6.6586104081266501E-2</v>
      </c>
      <c r="O35" s="4">
        <f t="shared" si="4"/>
        <v>3.8151027380753963</v>
      </c>
      <c r="P35">
        <v>3936.2040771350999</v>
      </c>
      <c r="Q35" s="10">
        <v>0.22705647882320201</v>
      </c>
      <c r="R35" s="10">
        <v>7.9150885313346006E-2</v>
      </c>
      <c r="S35">
        <v>-3.6729779007363801E-2</v>
      </c>
      <c r="T35">
        <v>-0.35051831758227497</v>
      </c>
      <c r="U35">
        <v>0.68442480960767205</v>
      </c>
      <c r="V35">
        <v>-1.1745870618570301E-3</v>
      </c>
      <c r="W35">
        <v>-0.27559728626164098</v>
      </c>
      <c r="X35">
        <v>-5.7150582447747303E-2</v>
      </c>
      <c r="Y35">
        <v>5.7269430579747498</v>
      </c>
      <c r="Z35">
        <v>0.63080176546557098</v>
      </c>
      <c r="AA35">
        <v>5.7615785733252496</v>
      </c>
      <c r="AB35">
        <v>20.332419939667901</v>
      </c>
      <c r="AC35" s="8">
        <v>9.4767770355130496E-2</v>
      </c>
      <c r="AD35" s="4">
        <f t="shared" si="5"/>
        <v>5.4297932752139761</v>
      </c>
      <c r="AE35">
        <v>3945.1837631768799</v>
      </c>
      <c r="AF35" s="10">
        <v>0.18840277363278601</v>
      </c>
      <c r="AG35" s="10">
        <v>1.79081535378307E-2</v>
      </c>
      <c r="AH35">
        <v>-4.7100693408196503E-2</v>
      </c>
      <c r="AI35">
        <v>-1.3282552168573301E-2</v>
      </c>
      <c r="AJ35">
        <v>6.40524527596045E-2</v>
      </c>
      <c r="AK35">
        <v>-1.6280408323025001E-4</v>
      </c>
      <c r="AL35">
        <v>-1.2694585170892799E-2</v>
      </c>
      <c r="AM35">
        <v>1.8248983668545299E-2</v>
      </c>
      <c r="AN35">
        <v>1.7652682158948999E-2</v>
      </c>
      <c r="AO35">
        <v>7.5910559282655796E-4</v>
      </c>
      <c r="AP35">
        <v>-1.6280408323025001E-4</v>
      </c>
      <c r="AQ35">
        <v>-5.5969364577053602</v>
      </c>
      <c r="AR35">
        <v>1.7050348056504001</v>
      </c>
      <c r="AS35">
        <v>-17.774989915234201</v>
      </c>
    </row>
    <row r="36" spans="1:45" x14ac:dyDescent="0.2">
      <c r="A36">
        <v>11</v>
      </c>
      <c r="B36">
        <v>-7.8514666080031699</v>
      </c>
      <c r="C36">
        <v>0.15211218017688299</v>
      </c>
      <c r="D36">
        <v>0.21008254672818</v>
      </c>
      <c r="E36" s="4">
        <f t="shared" si="3"/>
        <v>3.9456111072856022</v>
      </c>
      <c r="F36">
        <v>0</v>
      </c>
      <c r="G36">
        <v>5.6390746725283396</v>
      </c>
      <c r="H36">
        <v>0.80167878001382598</v>
      </c>
      <c r="I36">
        <v>0.38331903846589099</v>
      </c>
      <c r="J36">
        <v>0.01</v>
      </c>
      <c r="K36">
        <v>5.63827529658146</v>
      </c>
      <c r="L36">
        <v>0.80542769273894999</v>
      </c>
      <c r="M36">
        <v>5.6955124517704698</v>
      </c>
      <c r="N36" s="4">
        <v>6.8192505380332905E-2</v>
      </c>
      <c r="O36" s="4">
        <f t="shared" si="4"/>
        <v>3.9071427527162341</v>
      </c>
      <c r="P36">
        <v>3899.9456419333901</v>
      </c>
      <c r="Q36" s="10">
        <v>0.231983377680231</v>
      </c>
      <c r="R36" s="10">
        <v>8.0146925427610094E-2</v>
      </c>
      <c r="S36">
        <v>-3.66805728910478E-2</v>
      </c>
      <c r="T36">
        <v>-0.352060710446915</v>
      </c>
      <c r="U36">
        <v>0.68535972931450095</v>
      </c>
      <c r="V36">
        <v>-1.15150254286958E-3</v>
      </c>
      <c r="W36">
        <v>-0.27527229591100599</v>
      </c>
      <c r="X36">
        <v>-5.8695965557962297E-2</v>
      </c>
      <c r="Y36">
        <v>5.6614571990409699</v>
      </c>
      <c r="Z36">
        <v>0.69670922371037303</v>
      </c>
      <c r="AA36">
        <v>5.7041652639958604</v>
      </c>
      <c r="AB36">
        <v>19.929219582373399</v>
      </c>
      <c r="AC36" s="8">
        <v>8.7636388992685402E-2</v>
      </c>
      <c r="AD36" s="4">
        <f t="shared" si="5"/>
        <v>5.0211952210476172</v>
      </c>
      <c r="AE36">
        <v>3905.8705692537301</v>
      </c>
      <c r="AF36" s="10">
        <v>0.174376742834184</v>
      </c>
      <c r="AG36" s="10">
        <v>1.5320990597168901E-2</v>
      </c>
      <c r="AH36">
        <v>-4.3594185708546E-2</v>
      </c>
      <c r="AI36">
        <v>-1.23676835450013E-2</v>
      </c>
      <c r="AJ36">
        <v>5.8001947063096797E-2</v>
      </c>
      <c r="AK36">
        <v>-1.47695676915064E-4</v>
      </c>
      <c r="AL36">
        <v>-1.2708333614198999E-2</v>
      </c>
      <c r="AM36">
        <v>1.65445665858414E-2</v>
      </c>
      <c r="AN36">
        <v>1.5966329135367299E-2</v>
      </c>
      <c r="AO36">
        <v>7.2593312738917495E-4</v>
      </c>
      <c r="AP36">
        <v>-1.47695676915064E-4</v>
      </c>
      <c r="AQ36">
        <v>-5.6065906767987101</v>
      </c>
      <c r="AR36">
        <v>1.62633348273228</v>
      </c>
      <c r="AS36">
        <v>-12.2765772769548</v>
      </c>
    </row>
    <row r="37" spans="1:45" x14ac:dyDescent="0.2">
      <c r="A37">
        <v>12</v>
      </c>
      <c r="B37">
        <v>-7.7950758612778897</v>
      </c>
      <c r="C37">
        <v>0.160128967977022</v>
      </c>
      <c r="D37">
        <v>0.21391573711283901</v>
      </c>
      <c r="E37" s="4">
        <f t="shared" si="3"/>
        <v>3.9216109781957078</v>
      </c>
      <c r="F37">
        <v>0</v>
      </c>
      <c r="G37">
        <v>5.5830087657603498</v>
      </c>
      <c r="H37">
        <v>0.81794211484114898</v>
      </c>
      <c r="I37">
        <v>0.26055326569634202</v>
      </c>
      <c r="J37">
        <v>0.01</v>
      </c>
      <c r="K37">
        <v>5.5824556424336302</v>
      </c>
      <c r="L37">
        <v>0.82048825996897201</v>
      </c>
      <c r="M37">
        <v>5.6424296171495998</v>
      </c>
      <c r="N37" s="4">
        <v>6.7984355577887901E-2</v>
      </c>
      <c r="O37" s="4">
        <f t="shared" si="4"/>
        <v>3.8952166475296535</v>
      </c>
      <c r="P37">
        <v>3863.5976976010402</v>
      </c>
      <c r="Q37" s="10">
        <v>0.23121117315124801</v>
      </c>
      <c r="R37" s="10">
        <v>8.0609874678023496E-2</v>
      </c>
      <c r="S37">
        <v>-3.6631790641760399E-2</v>
      </c>
      <c r="T37">
        <v>-0.34930958542808999</v>
      </c>
      <c r="U37">
        <v>0.66868080316706402</v>
      </c>
      <c r="V37">
        <v>-1.12863529973992E-3</v>
      </c>
      <c r="W37">
        <v>-0.275045281317778</v>
      </c>
      <c r="X37">
        <v>-5.9750702872202299E-2</v>
      </c>
      <c r="Y37">
        <v>5.5984962189086103</v>
      </c>
      <c r="Z37">
        <v>0.74665005126210204</v>
      </c>
      <c r="AA37">
        <v>5.6480657053707004</v>
      </c>
      <c r="AB37">
        <v>19.539145804963098</v>
      </c>
      <c r="AC37" s="8">
        <v>8.1331955996037694E-2</v>
      </c>
      <c r="AD37" s="4">
        <f t="shared" si="5"/>
        <v>4.6599778181166895</v>
      </c>
      <c r="AE37">
        <v>3867.4569530906101</v>
      </c>
      <c r="AF37" s="10">
        <v>0.161947524808183</v>
      </c>
      <c r="AG37" s="10">
        <v>1.32006286947165E-2</v>
      </c>
      <c r="AH37">
        <v>-4.0486881202045903E-2</v>
      </c>
      <c r="AI37">
        <v>-1.1457564237368E-2</v>
      </c>
      <c r="AJ37">
        <v>5.2741615945048302E-2</v>
      </c>
      <c r="AK37">
        <v>-1.34483442749149E-4</v>
      </c>
      <c r="AL37">
        <v>-1.24350286277231E-2</v>
      </c>
      <c r="AM37">
        <v>1.5056446668397E-2</v>
      </c>
      <c r="AN37">
        <v>1.450633259476E-2</v>
      </c>
      <c r="AO37">
        <v>6.8459751638614696E-4</v>
      </c>
      <c r="AP37">
        <v>-1.34483442749149E-4</v>
      </c>
      <c r="AQ37">
        <v>-5.5502638410070402</v>
      </c>
      <c r="AR37">
        <v>1.2888064478786601</v>
      </c>
      <c r="AS37">
        <v>-8.3889694367959997</v>
      </c>
    </row>
    <row r="38" spans="1:45" x14ac:dyDescent="0.2">
      <c r="A38">
        <v>13</v>
      </c>
      <c r="B38">
        <v>-7.7392457736202802</v>
      </c>
      <c r="C38">
        <v>0.168308389125433</v>
      </c>
      <c r="D38">
        <v>0.21652126976980199</v>
      </c>
      <c r="E38" s="4">
        <f t="shared" si="3"/>
        <v>3.8577131978536947</v>
      </c>
      <c r="F38">
        <v>0</v>
      </c>
      <c r="G38">
        <v>5.5275061273502804</v>
      </c>
      <c r="H38">
        <v>0.83083017931993597</v>
      </c>
      <c r="I38">
        <v>0.17666357132838201</v>
      </c>
      <c r="J38">
        <v>0.01</v>
      </c>
      <c r="K38">
        <v>5.5271265949483697</v>
      </c>
      <c r="L38">
        <v>0.83255556533452701</v>
      </c>
      <c r="M38">
        <v>5.58947914979169</v>
      </c>
      <c r="N38" s="4">
        <v>6.7014475219736705E-2</v>
      </c>
      <c r="O38" s="4">
        <f t="shared" si="4"/>
        <v>3.8396465963749531</v>
      </c>
      <c r="P38">
        <v>3827.3403904386901</v>
      </c>
      <c r="Q38" s="10">
        <v>0.22804292048472299</v>
      </c>
      <c r="R38" s="10">
        <v>8.0854737758688497E-2</v>
      </c>
      <c r="S38">
        <v>-3.6584327425445998E-2</v>
      </c>
      <c r="T38">
        <v>-0.34443348513162397</v>
      </c>
      <c r="U38">
        <v>0.64537711399017605</v>
      </c>
      <c r="V38">
        <v>-1.10611666661614E-3</v>
      </c>
      <c r="W38">
        <v>-0.27488866547308399</v>
      </c>
      <c r="X38">
        <v>-6.0467138706282203E-2</v>
      </c>
      <c r="Y38">
        <v>5.5381330346038897</v>
      </c>
      <c r="Z38">
        <v>0.78251937091138402</v>
      </c>
      <c r="AA38">
        <v>5.5931434877735304</v>
      </c>
      <c r="AB38">
        <v>19.160993120829399</v>
      </c>
      <c r="AC38" s="8">
        <v>7.6153904690794902E-2</v>
      </c>
      <c r="AD38" s="4">
        <f t="shared" si="5"/>
        <v>4.3632973322240707</v>
      </c>
      <c r="AE38">
        <v>3829.8495095151302</v>
      </c>
      <c r="AF38" s="10">
        <v>0.15171962766556299</v>
      </c>
      <c r="AG38" s="10">
        <v>1.15764295702865E-2</v>
      </c>
      <c r="AH38">
        <v>-3.79299069163909E-2</v>
      </c>
      <c r="AI38">
        <v>-1.0648076284251099E-2</v>
      </c>
      <c r="AJ38">
        <v>4.84070388198128E-2</v>
      </c>
      <c r="AK38">
        <v>-1.2355169653477301E-4</v>
      </c>
      <c r="AL38">
        <v>-1.20505958613587E-2</v>
      </c>
      <c r="AM38">
        <v>1.38268533097822E-2</v>
      </c>
      <c r="AN38">
        <v>1.33065463006821E-2</v>
      </c>
      <c r="AO38">
        <v>6.4385870563489001E-4</v>
      </c>
      <c r="AP38">
        <v>-1.2355169653477301E-4</v>
      </c>
      <c r="AQ38">
        <v>-5.46279325255193</v>
      </c>
      <c r="AR38">
        <v>0.86360235092290805</v>
      </c>
      <c r="AS38">
        <v>-5.6843163568354296</v>
      </c>
    </row>
    <row r="39" spans="1:45" x14ac:dyDescent="0.2">
      <c r="A39">
        <v>14</v>
      </c>
      <c r="B39">
        <v>-7.6839707123467802</v>
      </c>
      <c r="C39">
        <v>0.176616690918633</v>
      </c>
      <c r="D39">
        <v>0.21828790548308599</v>
      </c>
      <c r="E39" s="4">
        <f t="shared" si="3"/>
        <v>3.7865366648536503</v>
      </c>
      <c r="F39">
        <v>0</v>
      </c>
      <c r="G39">
        <v>5.4728781948247596</v>
      </c>
      <c r="H39">
        <v>0.83946620282916495</v>
      </c>
      <c r="I39">
        <v>0.119820407760028</v>
      </c>
      <c r="J39">
        <v>0.01</v>
      </c>
      <c r="K39">
        <v>5.4726187135765203</v>
      </c>
      <c r="L39">
        <v>0.84063597310293203</v>
      </c>
      <c r="M39">
        <v>5.5368063379048804</v>
      </c>
      <c r="N39" s="4">
        <v>6.5871624805172904E-2</v>
      </c>
      <c r="O39" s="4">
        <f t="shared" si="4"/>
        <v>3.7741660910056711</v>
      </c>
      <c r="P39">
        <v>3791.2732051053499</v>
      </c>
      <c r="Q39" s="10">
        <v>0.22429312661977499</v>
      </c>
      <c r="R39" s="10">
        <v>8.1058151373928994E-2</v>
      </c>
      <c r="S39">
        <v>-3.6538104008930997E-2</v>
      </c>
      <c r="T39">
        <v>-0.338721001271725</v>
      </c>
      <c r="U39">
        <v>0.62119753541438705</v>
      </c>
      <c r="V39">
        <v>-1.08399643629834E-3</v>
      </c>
      <c r="W39">
        <v>-0.274781413158041</v>
      </c>
      <c r="X39">
        <v>-6.0952672228278097E-2</v>
      </c>
      <c r="Y39">
        <v>5.4801436697754697</v>
      </c>
      <c r="Z39">
        <v>0.80671263516367697</v>
      </c>
      <c r="AA39">
        <v>5.5392021011255697</v>
      </c>
      <c r="AB39">
        <v>18.793190449232299</v>
      </c>
      <c r="AC39" s="8">
        <v>7.2131150682872902E-2</v>
      </c>
      <c r="AD39" s="4">
        <f t="shared" si="5"/>
        <v>4.1328105055508031</v>
      </c>
      <c r="AE39">
        <v>3792.9136802005701</v>
      </c>
      <c r="AF39" s="10">
        <v>0.14376243330504901</v>
      </c>
      <c r="AG39" s="10">
        <v>1.03877715134016E-2</v>
      </c>
      <c r="AH39">
        <v>-3.5940608326262197E-2</v>
      </c>
      <c r="AI39">
        <v>-9.97242698096934E-3</v>
      </c>
      <c r="AJ39">
        <v>4.49568023434413E-2</v>
      </c>
      <c r="AK39">
        <v>-1.1482457851324E-4</v>
      </c>
      <c r="AL39">
        <v>-1.1647842991830601E-2</v>
      </c>
      <c r="AM39">
        <v>1.2846315173575699E-2</v>
      </c>
      <c r="AN39">
        <v>1.23532936789975E-2</v>
      </c>
      <c r="AO39">
        <v>6.0784607309146105E-4</v>
      </c>
      <c r="AP39">
        <v>-1.1482457851324E-4</v>
      </c>
      <c r="AQ39">
        <v>-5.36451428081069</v>
      </c>
      <c r="AR39">
        <v>0.43852827319735899</v>
      </c>
      <c r="AS39">
        <v>-3.8353083512485102</v>
      </c>
    </row>
    <row r="40" spans="1:45" x14ac:dyDescent="0.2">
      <c r="A40">
        <v>15</v>
      </c>
      <c r="B40">
        <v>-7.6292419303985302</v>
      </c>
      <c r="C40">
        <v>0.185011352946924</v>
      </c>
      <c r="D40">
        <v>0.21948610956068601</v>
      </c>
      <c r="E40" s="4">
        <f t="shared" si="3"/>
        <v>3.7249390417965431</v>
      </c>
      <c r="F40">
        <v>0</v>
      </c>
      <c r="G40">
        <v>5.4192330520166498</v>
      </c>
      <c r="H40">
        <v>0.84385148556113798</v>
      </c>
      <c r="I40">
        <v>8.1467324247543105E-2</v>
      </c>
      <c r="J40">
        <v>0.01</v>
      </c>
      <c r="K40">
        <v>5.4190556747676597</v>
      </c>
      <c r="L40">
        <v>0.84464661435796695</v>
      </c>
      <c r="M40">
        <v>5.4844865128267903</v>
      </c>
      <c r="N40" s="4">
        <v>6.4864251210012894E-2</v>
      </c>
      <c r="O40" s="4">
        <f t="shared" si="4"/>
        <v>3.7164478356100821</v>
      </c>
      <c r="P40">
        <v>3755.4477239870398</v>
      </c>
      <c r="Q40" s="10">
        <v>0.22093964430746901</v>
      </c>
      <c r="R40" s="10">
        <v>8.1310156618204094E-2</v>
      </c>
      <c r="S40">
        <v>-3.6492969863058097E-2</v>
      </c>
      <c r="T40">
        <v>-0.33291474385114</v>
      </c>
      <c r="U40">
        <v>0.59902019372472903</v>
      </c>
      <c r="V40">
        <v>-1.0622930352448699E-3</v>
      </c>
      <c r="W40">
        <v>-0.27470818218425802</v>
      </c>
      <c r="X40">
        <v>-6.1281872604533001E-2</v>
      </c>
      <c r="Y40">
        <v>5.4241996149884297</v>
      </c>
      <c r="Z40">
        <v>0.82158787924994803</v>
      </c>
      <c r="AA40">
        <v>5.4860685473818203</v>
      </c>
      <c r="AB40">
        <v>18.434380715275399</v>
      </c>
      <c r="AC40" s="8">
        <v>6.9161665450262796E-2</v>
      </c>
      <c r="AD40" s="4">
        <f t="shared" si="5"/>
        <v>3.9626715343958208</v>
      </c>
      <c r="AE40">
        <v>3756.53100645205</v>
      </c>
      <c r="AF40" s="10">
        <v>0.13788265471637501</v>
      </c>
      <c r="AG40" s="10">
        <v>9.5514281254353E-3</v>
      </c>
      <c r="AH40">
        <v>-3.4470663679093898E-2</v>
      </c>
      <c r="AI40">
        <v>-9.4306394961017302E-3</v>
      </c>
      <c r="AJ40">
        <v>4.2274711752581101E-2</v>
      </c>
      <c r="AK40">
        <v>-1.08025707420667E-4</v>
      </c>
      <c r="AL40">
        <v>-1.12737841018216E-2</v>
      </c>
      <c r="AM40">
        <v>1.20831107586737E-2</v>
      </c>
      <c r="AN40">
        <v>1.1613209217915E-2</v>
      </c>
      <c r="AO40">
        <v>5.7792724817938405E-4</v>
      </c>
      <c r="AP40">
        <v>-1.08025707420667E-4</v>
      </c>
      <c r="AQ40">
        <v>-5.2668520514960298</v>
      </c>
      <c r="AR40">
        <v>5.60754688817066E-2</v>
      </c>
      <c r="AS40">
        <v>-2.5899785853960999</v>
      </c>
    </row>
    <row r="41" spans="1:45" x14ac:dyDescent="0.2">
      <c r="A41">
        <v>16</v>
      </c>
      <c r="B41">
        <v>-7.57504959987837</v>
      </c>
      <c r="C41">
        <v>0.19344986780253601</v>
      </c>
      <c r="D41">
        <v>0.22030078280316201</v>
      </c>
      <c r="E41" s="4">
        <f t="shared" si="3"/>
        <v>3.6803068204247715</v>
      </c>
      <c r="F41">
        <v>0</v>
      </c>
      <c r="G41">
        <v>5.3665645315016901</v>
      </c>
      <c r="H41">
        <v>0.84441224024995598</v>
      </c>
      <c r="I41">
        <v>5.5567538393582E-2</v>
      </c>
      <c r="J41">
        <v>0.01</v>
      </c>
      <c r="K41">
        <v>5.3664431035684297</v>
      </c>
      <c r="L41">
        <v>0.84495448594088896</v>
      </c>
      <c r="M41">
        <v>5.4325555374197299</v>
      </c>
      <c r="N41" s="4">
        <v>6.4131424885212895E-2</v>
      </c>
      <c r="O41" s="4">
        <f t="shared" si="4"/>
        <v>3.6744599800829589</v>
      </c>
      <c r="P41">
        <v>3719.8885038229</v>
      </c>
      <c r="Q41" s="10">
        <v>0.218448037340122</v>
      </c>
      <c r="R41" s="10">
        <v>8.1649119514914104E-2</v>
      </c>
      <c r="S41">
        <v>-3.6448793830186801E-2</v>
      </c>
      <c r="T41">
        <v>-0.32739866870807199</v>
      </c>
      <c r="U41">
        <v>0.58004361126836901</v>
      </c>
      <c r="V41">
        <v>-1.0410094952536799E-3</v>
      </c>
      <c r="W41">
        <v>-0.27465816632704698</v>
      </c>
      <c r="X41">
        <v>-6.1505649649133902E-2</v>
      </c>
      <c r="Y41">
        <v>5.3699645136329996</v>
      </c>
      <c r="Z41">
        <v>0.82922936090381105</v>
      </c>
      <c r="AA41">
        <v>5.4336120776757397</v>
      </c>
      <c r="AB41">
        <v>18.083535879031501</v>
      </c>
      <c r="AC41" s="8">
        <v>6.7091054586112406E-2</v>
      </c>
      <c r="AD41" s="4">
        <f t="shared" si="5"/>
        <v>3.8440342708660671</v>
      </c>
      <c r="AE41">
        <v>3720.6119592804798</v>
      </c>
      <c r="AF41" s="10">
        <v>0.13377981697090099</v>
      </c>
      <c r="AG41" s="10">
        <v>8.9889200562729196E-3</v>
      </c>
      <c r="AH41">
        <v>-3.34449542427252E-2</v>
      </c>
      <c r="AI41">
        <v>-9.00738093094949E-3</v>
      </c>
      <c r="AJ41">
        <v>4.0223140771101201E-2</v>
      </c>
      <c r="AK41">
        <v>-1.02816515103551E-4</v>
      </c>
      <c r="AL41">
        <v>-1.09484700475434E-2</v>
      </c>
      <c r="AM41">
        <v>1.1498802388797E-2</v>
      </c>
      <c r="AN41">
        <v>1.10476140881053E-2</v>
      </c>
      <c r="AO41">
        <v>5.5400481579526899E-4</v>
      </c>
      <c r="AP41">
        <v>-1.02816515103551E-4</v>
      </c>
      <c r="AQ41">
        <v>-5.1754776867541796</v>
      </c>
      <c r="AR41">
        <v>-0.26743458400815101</v>
      </c>
      <c r="AS41">
        <v>-1.7611541231593999</v>
      </c>
    </row>
    <row r="43" spans="1:45" x14ac:dyDescent="0.2">
      <c r="A43" s="2" t="s">
        <v>46</v>
      </c>
    </row>
    <row r="45" spans="1:45" s="2" customFormat="1" x14ac:dyDescent="0.2">
      <c r="A45" s="2" t="s">
        <v>0</v>
      </c>
      <c r="B45" s="2" t="s">
        <v>1</v>
      </c>
      <c r="C45" s="2" t="s">
        <v>2</v>
      </c>
      <c r="D45" s="2" t="s">
        <v>3</v>
      </c>
      <c r="E45" s="5" t="s">
        <v>47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23</v>
      </c>
      <c r="K45" s="2" t="s">
        <v>24</v>
      </c>
      <c r="L45" s="2" t="s">
        <v>25</v>
      </c>
      <c r="M45" s="2" t="s">
        <v>26</v>
      </c>
      <c r="N45" s="5" t="s">
        <v>27</v>
      </c>
      <c r="O45" s="5"/>
      <c r="P45" s="2" t="s">
        <v>28</v>
      </c>
      <c r="Q45" s="11" t="s">
        <v>29</v>
      </c>
      <c r="R45" s="11" t="s">
        <v>30</v>
      </c>
      <c r="S45" s="2" t="s">
        <v>31</v>
      </c>
      <c r="T45" s="2" t="s">
        <v>32</v>
      </c>
      <c r="U45" s="2" t="s">
        <v>33</v>
      </c>
      <c r="V45" s="2" t="s">
        <v>34</v>
      </c>
      <c r="W45" s="2" t="s">
        <v>8</v>
      </c>
      <c r="X45" s="2" t="s">
        <v>9</v>
      </c>
      <c r="Y45" s="2" t="s">
        <v>10</v>
      </c>
      <c r="Z45" s="2" t="s">
        <v>11</v>
      </c>
      <c r="AA45" s="2" t="s">
        <v>12</v>
      </c>
      <c r="AB45" s="2" t="s">
        <v>13</v>
      </c>
      <c r="AC45" s="5" t="s">
        <v>35</v>
      </c>
      <c r="AD45" s="5"/>
      <c r="AE45" s="2" t="s">
        <v>36</v>
      </c>
      <c r="AF45" s="11" t="s">
        <v>14</v>
      </c>
      <c r="AG45" s="11" t="s">
        <v>15</v>
      </c>
      <c r="AH45" s="2" t="s">
        <v>37</v>
      </c>
      <c r="AI45" s="2" t="s">
        <v>16</v>
      </c>
      <c r="AJ45" s="2" t="s">
        <v>17</v>
      </c>
      <c r="AK45" s="2" t="s">
        <v>38</v>
      </c>
      <c r="AL45" s="2" t="s">
        <v>39</v>
      </c>
      <c r="AM45" s="2" t="s">
        <v>21</v>
      </c>
      <c r="AN45" s="2" t="s">
        <v>18</v>
      </c>
      <c r="AO45" s="2" t="s">
        <v>19</v>
      </c>
      <c r="AP45" s="2" t="s">
        <v>20</v>
      </c>
      <c r="AQ45" s="2" t="s">
        <v>40</v>
      </c>
      <c r="AR45" s="2" t="s">
        <v>41</v>
      </c>
      <c r="AS45" s="2" t="s">
        <v>22</v>
      </c>
    </row>
    <row r="46" spans="1:45" x14ac:dyDescent="0.2">
      <c r="A46">
        <v>0</v>
      </c>
      <c r="B46">
        <v>-8.5</v>
      </c>
      <c r="C46">
        <v>0</v>
      </c>
      <c r="D46">
        <v>0</v>
      </c>
      <c r="E46" s="4">
        <f>DEGREES(D46-ATAN2(G46,H46))</f>
        <v>-26.565051177077994</v>
      </c>
      <c r="F46">
        <v>0</v>
      </c>
      <c r="G46">
        <v>6</v>
      </c>
      <c r="H46">
        <v>3</v>
      </c>
      <c r="I46">
        <v>0</v>
      </c>
      <c r="J46">
        <v>0.01</v>
      </c>
      <c r="K46">
        <v>6</v>
      </c>
      <c r="L46">
        <v>3</v>
      </c>
      <c r="M46">
        <v>6.7082039324994396</v>
      </c>
      <c r="N46" s="4">
        <v>-0.46364754233414801</v>
      </c>
      <c r="O46" s="4">
        <f>DEGREES(N46)</f>
        <v>-26.565047357359848</v>
      </c>
      <c r="P46">
        <v>4593.3760856969302</v>
      </c>
      <c r="Q46" s="10">
        <v>-0.80601278669853205</v>
      </c>
      <c r="R46" s="10">
        <v>0.30361540247943097</v>
      </c>
      <c r="S46">
        <v>9.7384289050653494E-2</v>
      </c>
      <c r="T46">
        <v>0.38713969854194002</v>
      </c>
      <c r="U46">
        <v>-3.73082441086969</v>
      </c>
      <c r="V46">
        <v>4.2409640577947402E-3</v>
      </c>
      <c r="W46">
        <v>-0.281460571428571</v>
      </c>
      <c r="X46">
        <v>0</v>
      </c>
      <c r="Y46">
        <v>6</v>
      </c>
      <c r="Z46">
        <v>3</v>
      </c>
      <c r="AA46">
        <v>6.7082039324994396</v>
      </c>
      <c r="AB46">
        <v>27.5625000000006</v>
      </c>
      <c r="AC46" s="8">
        <v>-0.46364754233414801</v>
      </c>
      <c r="AD46" s="4">
        <f>DEGREES(AC46)</f>
        <v>-26.565047357359848</v>
      </c>
      <c r="AE46">
        <v>4593.3760856969302</v>
      </c>
      <c r="AF46" s="10">
        <v>-0.91185477732393105</v>
      </c>
      <c r="AG46" s="10">
        <v>0.32701242363885602</v>
      </c>
      <c r="AH46">
        <v>0.12768958788024701</v>
      </c>
      <c r="AI46">
        <v>5.4027622510995001E-2</v>
      </c>
      <c r="AJ46">
        <v>-0.450678457493843</v>
      </c>
      <c r="AK46">
        <v>5.9830552521139698E-4</v>
      </c>
      <c r="AL46">
        <v>-5.3733915387456997E-2</v>
      </c>
      <c r="AM46">
        <v>0.12744652170197501</v>
      </c>
      <c r="AN46">
        <v>0.12684821617676401</v>
      </c>
      <c r="AO46">
        <v>0</v>
      </c>
      <c r="AP46">
        <v>5.9830552521139698E-4</v>
      </c>
      <c r="AQ46">
        <v>6.7871895546605403</v>
      </c>
      <c r="AR46">
        <v>-74.140813359439093</v>
      </c>
      <c r="AS46">
        <v>-235.89247952230301</v>
      </c>
    </row>
    <row r="47" spans="1:45" x14ac:dyDescent="0.2">
      <c r="A47">
        <v>1</v>
      </c>
      <c r="B47">
        <v>-8.44</v>
      </c>
      <c r="C47">
        <v>0.03</v>
      </c>
      <c r="D47">
        <v>0</v>
      </c>
      <c r="E47" s="4">
        <f t="shared" ref="E47:E62" si="6">DEGREES(D47-ATAN2(G47,H47))</f>
        <v>-20.416344257424768</v>
      </c>
      <c r="F47">
        <v>0</v>
      </c>
      <c r="G47">
        <v>6.0678718955465998</v>
      </c>
      <c r="H47">
        <v>2.2585918664056002</v>
      </c>
      <c r="I47">
        <v>-2.3589247952230301</v>
      </c>
      <c r="J47">
        <v>0.01</v>
      </c>
      <c r="K47">
        <v>6.0678718955465998</v>
      </c>
      <c r="L47">
        <v>2.2184901448868102</v>
      </c>
      <c r="M47">
        <v>6.4607095480082704</v>
      </c>
      <c r="N47" s="4">
        <v>-0.35051523654868699</v>
      </c>
      <c r="O47" s="4">
        <f t="shared" ref="O47:O62" si="7">DEGREES(N47)</f>
        <v>-20.083043709269464</v>
      </c>
      <c r="P47">
        <v>4423.9067614925298</v>
      </c>
      <c r="Q47" s="10">
        <v>-0.50869547971072004</v>
      </c>
      <c r="R47" s="10">
        <v>0.21229301439608</v>
      </c>
      <c r="S47">
        <v>2.1672590051206399E-2</v>
      </c>
      <c r="T47">
        <v>-9.9806856835679594E-2</v>
      </c>
      <c r="U47">
        <v>-2.22437974771033</v>
      </c>
      <c r="V47">
        <v>8.7545621508484603E-4</v>
      </c>
      <c r="W47">
        <v>-0.281460571428571</v>
      </c>
      <c r="X47">
        <v>0</v>
      </c>
      <c r="Y47">
        <v>6.0678718955465998</v>
      </c>
      <c r="Z47">
        <v>2.96626930497251</v>
      </c>
      <c r="AA47">
        <v>6.7540967516306303</v>
      </c>
      <c r="AB47">
        <v>27.940916544862301</v>
      </c>
      <c r="AC47" s="8">
        <v>-0.45468650929228299</v>
      </c>
      <c r="AD47" s="4">
        <f t="shared" ref="AD47:AD62" si="8">DEGREES(AC47)</f>
        <v>-26.051617983983704</v>
      </c>
      <c r="AE47">
        <v>4624.80073826021</v>
      </c>
      <c r="AF47" s="10">
        <v>-0.89797373769655298</v>
      </c>
      <c r="AG47" s="10">
        <v>0.31776467493061</v>
      </c>
      <c r="AH47">
        <v>0.121666944904205</v>
      </c>
      <c r="AI47">
        <v>5.1723886302614701E-2</v>
      </c>
      <c r="AJ47">
        <v>-0.44948574818661402</v>
      </c>
      <c r="AK47">
        <v>5.7791261215225204E-4</v>
      </c>
      <c r="AL47">
        <v>-3.3690133990192203E-2</v>
      </c>
      <c r="AM47">
        <v>0.127090428145755</v>
      </c>
      <c r="AN47">
        <v>0.12651251553360299</v>
      </c>
      <c r="AO47">
        <v>0</v>
      </c>
      <c r="AP47">
        <v>5.7791261215225204E-4</v>
      </c>
      <c r="AQ47">
        <v>-0.739738008200999</v>
      </c>
      <c r="AR47">
        <v>-50.946392244568401</v>
      </c>
      <c r="AS47">
        <v>-298.89632286857301</v>
      </c>
    </row>
    <row r="48" spans="1:45" x14ac:dyDescent="0.2">
      <c r="A48">
        <v>2</v>
      </c>
      <c r="B48">
        <v>-8.3793212810445308</v>
      </c>
      <c r="C48">
        <v>5.2585918664056E-2</v>
      </c>
      <c r="D48">
        <v>-2.3589247952230299E-2</v>
      </c>
      <c r="E48" s="4">
        <f t="shared" si="6"/>
        <v>-17.45035879443758</v>
      </c>
      <c r="F48">
        <v>0</v>
      </c>
      <c r="G48">
        <v>6.0604745154645903</v>
      </c>
      <c r="H48">
        <v>1.7491279439599201</v>
      </c>
      <c r="I48">
        <v>-5.3478880239087596</v>
      </c>
      <c r="J48">
        <v>0.01</v>
      </c>
      <c r="K48">
        <v>6.0583301191908401</v>
      </c>
      <c r="L48">
        <v>1.65823914107407</v>
      </c>
      <c r="M48">
        <v>6.2811719354023401</v>
      </c>
      <c r="N48" s="4">
        <v>-0.29075780802478801</v>
      </c>
      <c r="O48" s="4">
        <f t="shared" si="7"/>
        <v>-16.659195260295373</v>
      </c>
      <c r="P48">
        <v>4300.9701625868402</v>
      </c>
      <c r="Q48" s="10">
        <v>-0.38861598055867802</v>
      </c>
      <c r="R48" s="10">
        <v>0.17908314580415599</v>
      </c>
      <c r="S48">
        <v>-2.21968658070634E-3</v>
      </c>
      <c r="T48">
        <v>-0.26777867312065601</v>
      </c>
      <c r="U48">
        <v>-1.6116364737280799</v>
      </c>
      <c r="V48" s="1">
        <v>-8.4749315582557995E-5</v>
      </c>
      <c r="W48">
        <v>-0.28138226532375699</v>
      </c>
      <c r="X48">
        <v>6.6388274694098E-3</v>
      </c>
      <c r="Y48">
        <v>6.0983168026484602</v>
      </c>
      <c r="Z48">
        <v>3.3530479948866199</v>
      </c>
      <c r="AA48">
        <v>6.9593389543460802</v>
      </c>
      <c r="AB48">
        <v>29.664844192405699</v>
      </c>
      <c r="AC48" s="8">
        <v>-0.52630318002404397</v>
      </c>
      <c r="AD48" s="4">
        <f t="shared" si="8"/>
        <v>-30.154950959691696</v>
      </c>
      <c r="AE48">
        <v>4765.3383002090204</v>
      </c>
      <c r="AF48" s="10">
        <v>-0.96401360727706198</v>
      </c>
      <c r="AG48" s="10">
        <v>0.44223618859129299</v>
      </c>
      <c r="AH48">
        <v>0.189177057375428</v>
      </c>
      <c r="AI48">
        <v>3.88036297418567E-2</v>
      </c>
      <c r="AJ48">
        <v>-0.53345905610825095</v>
      </c>
      <c r="AK48">
        <v>9.5402434840938298E-4</v>
      </c>
      <c r="AL48">
        <v>-2.52198403974257E-2</v>
      </c>
      <c r="AM48">
        <v>0.150802331410579</v>
      </c>
      <c r="AN48">
        <v>0.150105917665213</v>
      </c>
      <c r="AO48">
        <v>-2.5761060304304602E-4</v>
      </c>
      <c r="AP48">
        <v>9.5402434840938298E-4</v>
      </c>
      <c r="AQ48">
        <v>-3.5226929750584501</v>
      </c>
      <c r="AR48">
        <v>-42.811469689789803</v>
      </c>
      <c r="AS48">
        <v>-401.88465271842398</v>
      </c>
    </row>
    <row r="49" spans="1:45" x14ac:dyDescent="0.2">
      <c r="A49">
        <v>3</v>
      </c>
      <c r="B49">
        <v>-8.3187165358898891</v>
      </c>
      <c r="C49">
        <v>7.00771981036553E-2</v>
      </c>
      <c r="D49">
        <v>-7.7068128191318003E-2</v>
      </c>
      <c r="E49" s="4">
        <f t="shared" si="6"/>
        <v>-16.781900343262674</v>
      </c>
      <c r="F49">
        <v>0</v>
      </c>
      <c r="G49">
        <v>6.02524758571401</v>
      </c>
      <c r="H49">
        <v>1.3210132470620199</v>
      </c>
      <c r="I49">
        <v>-9.3667345510930105</v>
      </c>
      <c r="J49">
        <v>0.01</v>
      </c>
      <c r="K49">
        <v>6.0129878263766097</v>
      </c>
      <c r="L49">
        <v>1.16225141201177</v>
      </c>
      <c r="M49">
        <v>6.1242837087187301</v>
      </c>
      <c r="N49" s="4">
        <v>-0.268003647151699</v>
      </c>
      <c r="O49" s="4">
        <f t="shared" si="7"/>
        <v>-15.35547787590566</v>
      </c>
      <c r="P49">
        <v>4193.5425059700601</v>
      </c>
      <c r="Q49" s="10">
        <v>-0.33082852566892001</v>
      </c>
      <c r="R49" s="10">
        <v>0.16762879284000301</v>
      </c>
      <c r="S49">
        <v>-1.08680367473703E-2</v>
      </c>
      <c r="T49">
        <v>-0.36950124815290702</v>
      </c>
      <c r="U49">
        <v>-1.29446390786718</v>
      </c>
      <c r="V49">
        <v>-3.9447990118937902E-4</v>
      </c>
      <c r="W49">
        <v>-0.28062511804279999</v>
      </c>
      <c r="X49">
        <v>2.1670172873376001E-2</v>
      </c>
      <c r="Y49">
        <v>6.2415962799033702</v>
      </c>
      <c r="Z49">
        <v>4.1226926891253202</v>
      </c>
      <c r="AA49">
        <v>7.48024860083353</v>
      </c>
      <c r="AB49">
        <v>34.271897967291601</v>
      </c>
      <c r="AC49" s="8">
        <v>-0.66080246933804698</v>
      </c>
      <c r="AD49" s="4">
        <f t="shared" si="8"/>
        <v>-37.861192584893082</v>
      </c>
      <c r="AE49">
        <v>5122.0260123091502</v>
      </c>
      <c r="AF49" s="10">
        <v>-0.96956264029674499</v>
      </c>
      <c r="AG49" s="10">
        <v>0.75182070474576201</v>
      </c>
      <c r="AH49">
        <v>0.24193334900133601</v>
      </c>
      <c r="AI49">
        <v>-5.4159677494603702E-2</v>
      </c>
      <c r="AJ49">
        <v>-0.71276513698992505</v>
      </c>
      <c r="AK49">
        <v>1.40955755881601E-3</v>
      </c>
      <c r="AL49">
        <v>-2.08920765372166E-2</v>
      </c>
      <c r="AM49">
        <v>0.202603007837481</v>
      </c>
      <c r="AN49">
        <v>0.20001980070459099</v>
      </c>
      <c r="AO49">
        <v>1.17364957407435E-3</v>
      </c>
      <c r="AP49">
        <v>1.40955755881601E-3</v>
      </c>
      <c r="AQ49">
        <v>-6.5178603945770899</v>
      </c>
      <c r="AR49">
        <v>-40.690446843955499</v>
      </c>
      <c r="AS49">
        <v>-581.50490511531098</v>
      </c>
    </row>
    <row r="50" spans="1:45" x14ac:dyDescent="0.2">
      <c r="A50">
        <v>4</v>
      </c>
      <c r="B50">
        <v>-8.2584640600327397</v>
      </c>
      <c r="C50">
        <v>8.3287330574275606E-2</v>
      </c>
      <c r="D50">
        <v>-0.17073547370224801</v>
      </c>
      <c r="E50" s="4">
        <f t="shared" si="6"/>
        <v>-18.502053686285798</v>
      </c>
      <c r="F50">
        <v>0</v>
      </c>
      <c r="G50">
        <v>5.96006898176823</v>
      </c>
      <c r="H50">
        <v>0.91410877862247097</v>
      </c>
      <c r="I50">
        <v>-15.181783602246099</v>
      </c>
      <c r="J50">
        <v>0.01</v>
      </c>
      <c r="K50">
        <v>5.9162175844119798</v>
      </c>
      <c r="L50">
        <v>0.65977107228160403</v>
      </c>
      <c r="M50">
        <v>5.9528924376244303</v>
      </c>
      <c r="N50" s="4">
        <v>-0.28179564019549103</v>
      </c>
      <c r="O50" s="4">
        <f t="shared" si="7"/>
        <v>-16.145700868388733</v>
      </c>
      <c r="P50">
        <v>4076.1840335885599</v>
      </c>
      <c r="Q50" s="10">
        <v>-0.368538045894995</v>
      </c>
      <c r="R50" s="10">
        <v>0.17626801870307601</v>
      </c>
      <c r="S50">
        <v>-5.5214122192121396E-3</v>
      </c>
      <c r="T50">
        <v>-0.46069388920736298</v>
      </c>
      <c r="U50">
        <v>-1.3230785124306199</v>
      </c>
      <c r="V50">
        <v>-1.89351793404083E-4</v>
      </c>
      <c r="W50">
        <v>-0.27736815475721699</v>
      </c>
      <c r="X50">
        <v>4.7822170543319803E-2</v>
      </c>
      <c r="Y50">
        <v>6.7339171704080103</v>
      </c>
      <c r="Z50">
        <v>5.4024212434612897</v>
      </c>
      <c r="AA50">
        <v>8.6331799326620509</v>
      </c>
      <c r="AB50">
        <v>45.650724896702698</v>
      </c>
      <c r="AC50" s="8">
        <v>-0.84685909480181498</v>
      </c>
      <c r="AD50" s="4">
        <f t="shared" si="8"/>
        <v>-48.521451974413274</v>
      </c>
      <c r="AE50">
        <v>5911.4843026892204</v>
      </c>
      <c r="AF50" s="10">
        <v>-0.992454843689208</v>
      </c>
      <c r="AG50" s="10">
        <v>1.1226107442475</v>
      </c>
      <c r="AH50">
        <v>0.24811343259195701</v>
      </c>
      <c r="AI50">
        <v>-0.19757657032112999</v>
      </c>
      <c r="AJ50">
        <v>-1.1459490303002799</v>
      </c>
      <c r="AK50">
        <v>1.92551486925345E-3</v>
      </c>
      <c r="AL50">
        <v>-2.1666648417554699E-2</v>
      </c>
      <c r="AM50">
        <v>0.32922382329072603</v>
      </c>
      <c r="AN50">
        <v>0.31784976798021097</v>
      </c>
      <c r="AO50">
        <v>9.4485404412613192E-3</v>
      </c>
      <c r="AP50">
        <v>1.92551486925345E-3</v>
      </c>
      <c r="AQ50">
        <v>-10.1272378388999</v>
      </c>
      <c r="AR50">
        <v>-47.795039118936998</v>
      </c>
      <c r="AS50">
        <v>-984.23360946087496</v>
      </c>
    </row>
    <row r="51" spans="1:45" x14ac:dyDescent="0.2">
      <c r="A51">
        <v>5</v>
      </c>
      <c r="B51">
        <v>-8.1988633702150597</v>
      </c>
      <c r="C51">
        <v>9.2428418360500295E-2</v>
      </c>
      <c r="D51">
        <v>-0.32255330972470903</v>
      </c>
      <c r="E51" s="4">
        <f t="shared" si="6"/>
        <v>-22.738476718082467</v>
      </c>
      <c r="F51">
        <v>0</v>
      </c>
      <c r="G51">
        <v>5.8587966033792398</v>
      </c>
      <c r="H51">
        <v>0.43615838743309998</v>
      </c>
      <c r="I51">
        <v>-25.0241196968548</v>
      </c>
      <c r="J51">
        <v>0.01</v>
      </c>
      <c r="K51">
        <v>5.72394620628934</v>
      </c>
      <c r="L51">
        <v>3.2687114412548401E-2</v>
      </c>
      <c r="M51">
        <v>5.7240395368955701</v>
      </c>
      <c r="N51" s="4">
        <v>-0.328263837429358</v>
      </c>
      <c r="O51" s="4">
        <f t="shared" si="7"/>
        <v>-18.808132451470797</v>
      </c>
      <c r="P51">
        <v>3919.4792804343601</v>
      </c>
      <c r="Q51" s="10">
        <v>-0.46688993424299502</v>
      </c>
      <c r="R51" s="10">
        <v>0.20332386977681299</v>
      </c>
      <c r="S51">
        <v>1.1358224821997699E-2</v>
      </c>
      <c r="T51">
        <v>-0.63623429524577702</v>
      </c>
      <c r="U51">
        <v>-1.4840705846029101</v>
      </c>
      <c r="V51">
        <v>3.6014624449167603E-4</v>
      </c>
      <c r="W51">
        <v>-0.26694540738876799</v>
      </c>
      <c r="X51">
        <v>8.9219968297139796E-2</v>
      </c>
      <c r="Y51">
        <v>8.2385094932009899</v>
      </c>
      <c r="Z51">
        <v>7.5562396760310699</v>
      </c>
      <c r="AA51">
        <v>11.178989073757499</v>
      </c>
      <c r="AB51">
        <v>76.544000485603902</v>
      </c>
      <c r="AC51" s="8">
        <v>-1.0647822596245899</v>
      </c>
      <c r="AD51" s="4">
        <f t="shared" si="8"/>
        <v>-61.007529576892082</v>
      </c>
      <c r="AE51">
        <v>7654.7018531877902</v>
      </c>
      <c r="AF51" s="10">
        <v>-0.84790878731781905</v>
      </c>
      <c r="AG51" s="10">
        <v>1.5301421394943999</v>
      </c>
      <c r="AH51">
        <v>0.211977196780199</v>
      </c>
      <c r="AI51">
        <v>-0.721581489949495</v>
      </c>
      <c r="AJ51">
        <v>-2.1589662866497901</v>
      </c>
      <c r="AK51">
        <v>2.75834905105769E-3</v>
      </c>
      <c r="AL51">
        <v>-2.4646138451073399E-2</v>
      </c>
      <c r="AM51">
        <v>0.64346396163649999</v>
      </c>
      <c r="AN51">
        <v>0.57632613492834595</v>
      </c>
      <c r="AO51">
        <v>6.4379477657096895E-2</v>
      </c>
      <c r="AP51">
        <v>2.75834905105769E-3</v>
      </c>
      <c r="AQ51">
        <v>-20.889473618388799</v>
      </c>
      <c r="AR51">
        <v>-65.8567210961955</v>
      </c>
      <c r="AS51">
        <v>-1980.3189438310901</v>
      </c>
    </row>
    <row r="52" spans="1:45" x14ac:dyDescent="0.2">
      <c r="A52">
        <v>6</v>
      </c>
      <c r="B52">
        <v>-8.1402754041812706</v>
      </c>
      <c r="C52">
        <v>9.6790002234831293E-2</v>
      </c>
      <c r="D52">
        <v>-0.57279450669325804</v>
      </c>
      <c r="E52" s="4">
        <f t="shared" si="6"/>
        <v>-30.564418915985172</v>
      </c>
      <c r="F52">
        <v>0</v>
      </c>
      <c r="G52">
        <v>5.64990186719535</v>
      </c>
      <c r="H52">
        <v>-0.22240882352885499</v>
      </c>
      <c r="I52">
        <v>-44.827309135165798</v>
      </c>
      <c r="J52">
        <v>0.01</v>
      </c>
      <c r="K52">
        <v>5.2368762729130598</v>
      </c>
      <c r="L52">
        <v>-0.86283976256161599</v>
      </c>
      <c r="M52">
        <v>5.3074820351705601</v>
      </c>
      <c r="N52" s="4">
        <v>-0.40949933062191601</v>
      </c>
      <c r="O52" s="4">
        <f t="shared" si="7"/>
        <v>-23.462583358068102</v>
      </c>
      <c r="P52">
        <v>3634.2456641050499</v>
      </c>
      <c r="Q52" s="10">
        <v>-0.630577680095327</v>
      </c>
      <c r="R52" s="10">
        <v>0.24963058616695799</v>
      </c>
      <c r="S52">
        <v>4.7812446851568297E-2</v>
      </c>
      <c r="T52">
        <v>-0.95092310892063803</v>
      </c>
      <c r="U52">
        <v>-1.5855118911763999</v>
      </c>
      <c r="V52">
        <v>1.30341050041528E-3</v>
      </c>
      <c r="W52">
        <v>-0.23653656080516799</v>
      </c>
      <c r="X52">
        <v>0.15254674257866299</v>
      </c>
      <c r="Y52">
        <v>12.938588825118</v>
      </c>
      <c r="Z52">
        <v>11.0793136299904</v>
      </c>
      <c r="AA52">
        <v>17.034032737351499</v>
      </c>
      <c r="AB52">
        <v>177.72194116951201</v>
      </c>
      <c r="AC52" s="8">
        <v>-1.28093465673166</v>
      </c>
      <c r="AD52" s="4">
        <f t="shared" si="8"/>
        <v>-73.392149662762975</v>
      </c>
      <c r="AE52">
        <v>11663.8849095894</v>
      </c>
      <c r="AF52" s="10">
        <v>-0.54779250017084902</v>
      </c>
      <c r="AG52" s="10">
        <v>1.83661423413449</v>
      </c>
      <c r="AH52">
        <v>0.13694812504270301</v>
      </c>
      <c r="AI52">
        <v>-3.1383349105257898</v>
      </c>
      <c r="AJ52">
        <v>-4.8662527699613003</v>
      </c>
      <c r="AK52">
        <v>4.13757672575942E-3</v>
      </c>
      <c r="AL52">
        <v>-2.7410837461650399E-2</v>
      </c>
      <c r="AM52">
        <v>1.6339270386626401</v>
      </c>
      <c r="AN52">
        <v>1.1510466942152699</v>
      </c>
      <c r="AO52">
        <v>0.47874276772161101</v>
      </c>
      <c r="AP52">
        <v>4.13757672575942E-3</v>
      </c>
      <c r="AQ52">
        <v>-62.911661837637403</v>
      </c>
      <c r="AR52">
        <v>-109.067917863657</v>
      </c>
      <c r="AS52">
        <v>-5141.11641198897</v>
      </c>
    </row>
    <row r="53" spans="1:45" x14ac:dyDescent="0.2">
      <c r="A53">
        <v>7</v>
      </c>
      <c r="B53">
        <v>-8.0837763855093208</v>
      </c>
      <c r="C53">
        <v>9.45659139995427E-2</v>
      </c>
      <c r="D53">
        <v>-1.02106759804491</v>
      </c>
      <c r="E53" s="4">
        <f t="shared" si="6"/>
        <v>-43.846544874855041</v>
      </c>
      <c r="F53">
        <v>0</v>
      </c>
      <c r="G53">
        <v>5.0207852488189699</v>
      </c>
      <c r="H53">
        <v>-1.3130880021654201</v>
      </c>
      <c r="I53">
        <v>-96.238473255055496</v>
      </c>
      <c r="J53">
        <v>0.01</v>
      </c>
      <c r="K53">
        <v>3.6257771309452602</v>
      </c>
      <c r="L53">
        <v>-2.1678541633618802</v>
      </c>
      <c r="M53">
        <v>4.2244350482510802</v>
      </c>
      <c r="N53" s="4">
        <v>-0.48219335782237199</v>
      </c>
      <c r="O53" s="4">
        <f t="shared" si="7"/>
        <v>-27.627644312463435</v>
      </c>
      <c r="P53">
        <v>2892.6399855268701</v>
      </c>
      <c r="Q53" s="10">
        <v>-0.783276472188282</v>
      </c>
      <c r="R53" s="10">
        <v>0.31957680592968202</v>
      </c>
      <c r="S53">
        <v>0.102283944938568</v>
      </c>
      <c r="T53">
        <v>-1.16789299953416</v>
      </c>
      <c r="U53">
        <v>-0.87781357991923104</v>
      </c>
      <c r="V53">
        <v>1.76647674294683E-3</v>
      </c>
      <c r="W53">
        <v>-0.14705074863144901</v>
      </c>
      <c r="X53">
        <v>0.23999193860592</v>
      </c>
      <c r="Y53">
        <v>29.638575564237499</v>
      </c>
      <c r="Z53">
        <v>13.771020724830899</v>
      </c>
      <c r="AA53">
        <v>32.6815876799267</v>
      </c>
      <c r="AB53">
        <v>654.20278113445499</v>
      </c>
      <c r="AC53" s="8">
        <v>-1.4560223646672401</v>
      </c>
      <c r="AD53" s="4">
        <f t="shared" si="8"/>
        <v>-83.423936372090935</v>
      </c>
      <c r="AE53">
        <v>22378.392905483601</v>
      </c>
      <c r="AF53" s="10">
        <v>-0.227537329293408</v>
      </c>
      <c r="AG53" s="10">
        <v>1.97376935861528</v>
      </c>
      <c r="AH53">
        <v>5.6884332323352001E-2</v>
      </c>
      <c r="AI53">
        <v>-18.8409844859641</v>
      </c>
      <c r="AJ53">
        <v>-11.5444750765175</v>
      </c>
      <c r="AK53">
        <v>6.3263610295152903E-3</v>
      </c>
      <c r="AL53">
        <v>-2.0834719320037699E-2</v>
      </c>
      <c r="AM53">
        <v>6.2256344556191303</v>
      </c>
      <c r="AN53">
        <v>1.69762370255901</v>
      </c>
      <c r="AO53">
        <v>4.5216843920305996</v>
      </c>
      <c r="AP53">
        <v>6.3263610295152903E-3</v>
      </c>
      <c r="AQ53">
        <v>-307.82888439227997</v>
      </c>
      <c r="AR53">
        <v>-200.922133175949</v>
      </c>
      <c r="AS53">
        <v>-19856.3809898367</v>
      </c>
    </row>
    <row r="54" spans="1:45" x14ac:dyDescent="0.2">
      <c r="A54">
        <v>8</v>
      </c>
      <c r="B54">
        <v>-8.0335685330211302</v>
      </c>
      <c r="C54">
        <v>8.1435033977888496E-2</v>
      </c>
      <c r="D54">
        <v>-1.9834523305954701</v>
      </c>
      <c r="E54" s="4">
        <f t="shared" si="6"/>
        <v>-53.957530047252554</v>
      </c>
      <c r="F54">
        <v>0</v>
      </c>
      <c r="G54">
        <v>1.9424964048961599</v>
      </c>
      <c r="H54">
        <v>-3.3223093339249199</v>
      </c>
      <c r="I54">
        <v>-294.80228315342299</v>
      </c>
      <c r="J54">
        <v>0.01</v>
      </c>
      <c r="K54">
        <v>-2.64845984030124</v>
      </c>
      <c r="L54">
        <v>-1.3124226822087099</v>
      </c>
      <c r="M54">
        <v>2.9558066280569499</v>
      </c>
      <c r="N54" s="4">
        <v>0.69806544199918696</v>
      </c>
      <c r="O54" s="4">
        <f t="shared" si="7"/>
        <v>39.996203650487772</v>
      </c>
      <c r="P54">
        <v>2023.95926180534</v>
      </c>
      <c r="Q54" s="10">
        <v>0.98503558081839304</v>
      </c>
      <c r="R54" s="10">
        <v>0.82580593862349305</v>
      </c>
      <c r="S54">
        <v>-0.24616375815695199</v>
      </c>
      <c r="T54">
        <v>0.99541819817461197</v>
      </c>
      <c r="U54">
        <v>-0.43622941468945498</v>
      </c>
      <c r="V54">
        <v>-2.0813222688045802E-3</v>
      </c>
      <c r="W54">
        <v>0.112878015862323</v>
      </c>
      <c r="X54">
        <v>0.25783445619987</v>
      </c>
      <c r="Y54">
        <v>82.959371320144697</v>
      </c>
      <c r="Z54">
        <v>-38.790897305387404</v>
      </c>
      <c r="AA54">
        <v>91.580516506464207</v>
      </c>
      <c r="AB54">
        <v>5137.0319896993396</v>
      </c>
      <c r="AC54" s="8">
        <v>-1.54606797520329</v>
      </c>
      <c r="AD54" s="4">
        <f t="shared" si="8"/>
        <v>-88.583169819485335</v>
      </c>
      <c r="AE54">
        <v>62708.850039361998</v>
      </c>
      <c r="AF54" s="10">
        <v>-4.9436544083917101E-2</v>
      </c>
      <c r="AG54" s="10">
        <v>1.99877726651593</v>
      </c>
      <c r="AH54">
        <v>1.2359136020979201E-2</v>
      </c>
      <c r="AI54">
        <v>-159.949091913621</v>
      </c>
      <c r="AJ54">
        <v>70.024529023747803</v>
      </c>
      <c r="AK54">
        <v>1.0793177107818699E-2</v>
      </c>
      <c r="AL54">
        <v>1.48070651584807E-2</v>
      </c>
      <c r="AM54">
        <v>49.155410208213702</v>
      </c>
      <c r="AN54">
        <v>7.9042298978943499</v>
      </c>
      <c r="AO54">
        <v>41.240387133211598</v>
      </c>
      <c r="AP54">
        <v>1.0793177107818699E-2</v>
      </c>
      <c r="AQ54">
        <v>-2445.4411340837901</v>
      </c>
      <c r="AR54">
        <v>1060.77922475474</v>
      </c>
      <c r="AS54">
        <v>-157352.79284218699</v>
      </c>
    </row>
    <row r="55" spans="1:45" x14ac:dyDescent="0.2">
      <c r="A55">
        <v>9</v>
      </c>
      <c r="B55">
        <v>-8.0141435689721607</v>
      </c>
      <c r="C55">
        <v>4.8211940638639199E-2</v>
      </c>
      <c r="D55">
        <v>-4.9314751621296997</v>
      </c>
      <c r="E55" s="4">
        <f t="shared" si="6"/>
        <v>-444.61968761802495</v>
      </c>
      <c r="F55">
        <v>0</v>
      </c>
      <c r="G55">
        <v>-22.5119149359417</v>
      </c>
      <c r="H55">
        <v>7.2854829136225101</v>
      </c>
      <c r="I55">
        <v>-1868.3302115752999</v>
      </c>
      <c r="J55">
        <v>0.01</v>
      </c>
      <c r="K55">
        <v>8.4904837883313498</v>
      </c>
      <c r="L55">
        <v>0.38248562169515699</v>
      </c>
      <c r="M55">
        <v>8.4990946700646806</v>
      </c>
      <c r="N55" s="4">
        <v>-4.9764934630246902</v>
      </c>
      <c r="O55" s="4">
        <f t="shared" si="7"/>
        <v>-285.13207220575816</v>
      </c>
      <c r="P55">
        <v>5819.6707494853199</v>
      </c>
      <c r="Q55" s="10">
        <v>0.50398721378502198</v>
      </c>
      <c r="R55" s="10">
        <v>1.8637111139386799</v>
      </c>
      <c r="S55">
        <v>-0.125996803446255</v>
      </c>
      <c r="T55">
        <v>-13.1736326540971</v>
      </c>
      <c r="U55">
        <v>2.9332423298940702</v>
      </c>
      <c r="V55">
        <v>-8.8078120927294508E-3</v>
      </c>
      <c r="W55">
        <v>-6.1172004263433298E-2</v>
      </c>
      <c r="X55">
        <v>-0.27473266854033201</v>
      </c>
      <c r="Y55">
        <v>-569.61306889370201</v>
      </c>
      <c r="Z55">
        <v>129.10308218292801</v>
      </c>
      <c r="AA55">
        <v>584.06048837738797</v>
      </c>
      <c r="AB55">
        <v>208940.07562622501</v>
      </c>
      <c r="AC55" s="8">
        <v>-7.8501829675435104</v>
      </c>
      <c r="AD55" s="4">
        <f t="shared" si="8"/>
        <v>-449.78235244572727</v>
      </c>
      <c r="AE55">
        <v>399929.62451777502</v>
      </c>
      <c r="AF55" s="10">
        <v>-7.5972597764877598E-3</v>
      </c>
      <c r="AG55" s="10">
        <v>1.9999711404055001</v>
      </c>
      <c r="AH55">
        <v>1.89931494412194E-3</v>
      </c>
      <c r="AI55">
        <v>6934.1027177612395</v>
      </c>
      <c r="AJ55">
        <v>-1543.94802231167</v>
      </c>
      <c r="AK55">
        <v>6.7463311370685897E-2</v>
      </c>
      <c r="AL55">
        <v>0.20091605327636</v>
      </c>
      <c r="AM55">
        <v>1999.5384018980601</v>
      </c>
      <c r="AN55">
        <v>94.446395003369005</v>
      </c>
      <c r="AO55">
        <v>1905.0245435833201</v>
      </c>
      <c r="AP55">
        <v>6.7463311370685897E-2</v>
      </c>
      <c r="AQ55">
        <v>106475.83207857099</v>
      </c>
      <c r="AR55">
        <v>-23717.7296920273</v>
      </c>
      <c r="AS55">
        <v>-6399495.1433004597</v>
      </c>
    </row>
    <row r="56" spans="1:45" s="3" customFormat="1" x14ac:dyDescent="0.2">
      <c r="A56" s="3">
        <v>10</v>
      </c>
      <c r="B56" s="3">
        <v>-8.2392627183315792</v>
      </c>
      <c r="C56" s="3">
        <v>0.121066769774864</v>
      </c>
      <c r="D56" s="3">
        <v>-23.614777277882698</v>
      </c>
      <c r="E56" s="3">
        <f t="shared" si="6"/>
        <v>-1340.588321721827</v>
      </c>
      <c r="F56" s="3">
        <v>0</v>
      </c>
      <c r="G56" s="3">
        <v>1042.2464058497701</v>
      </c>
      <c r="H56" s="3">
        <v>-229.89181400665001</v>
      </c>
      <c r="I56" s="3">
        <v>-65863.281644579896</v>
      </c>
      <c r="J56" s="3">
        <v>0.01</v>
      </c>
      <c r="K56" s="3">
        <v>2160.35990416305</v>
      </c>
      <c r="L56" s="3">
        <v>-289.01943047043301</v>
      </c>
      <c r="M56" s="3">
        <v>2179.6071083350898</v>
      </c>
      <c r="N56" s="3">
        <v>-23.4817839588314</v>
      </c>
      <c r="O56" s="3">
        <f t="shared" si="7"/>
        <v>-1345.4071162790372</v>
      </c>
      <c r="P56" s="3">
        <v>1492464.34192872</v>
      </c>
      <c r="Q56" s="3">
        <v>-0.15963597317829101</v>
      </c>
      <c r="R56" s="3">
        <v>1.98717594990326</v>
      </c>
      <c r="S56" s="3">
        <v>3.99089932945728E-2</v>
      </c>
      <c r="T56" s="3">
        <v>-915263.98527191998</v>
      </c>
      <c r="U56" s="3">
        <v>48400.612306659903</v>
      </c>
      <c r="V56" s="3">
        <v>183.48069816964801</v>
      </c>
      <c r="W56" s="3">
        <v>-1.48633139129127E-2</v>
      </c>
      <c r="X56" s="3">
        <v>-0.281067847980561</v>
      </c>
      <c r="Y56" s="3">
        <v>-18689.168270266899</v>
      </c>
      <c r="Z56" s="3">
        <v>813.53671182480298</v>
      </c>
      <c r="AA56" s="3">
        <v>18706.8664563534</v>
      </c>
      <c r="AB56" s="3">
        <v>214342447.227202</v>
      </c>
      <c r="AC56" s="7">
        <v>-26.7128675433122</v>
      </c>
      <c r="AD56" s="3">
        <f t="shared" si="8"/>
        <v>-1530.5345689237888</v>
      </c>
      <c r="AE56" s="3">
        <v>12809341.2012481</v>
      </c>
      <c r="AF56" s="3">
        <v>1.86588927328841E-2</v>
      </c>
      <c r="AG56" s="3">
        <v>1.99982590770692</v>
      </c>
      <c r="AH56" s="3">
        <v>-4.6647231832210399E-3</v>
      </c>
      <c r="AI56" s="3">
        <v>7277157.9730353998</v>
      </c>
      <c r="AJ56" s="3">
        <v>-384827.66392332601</v>
      </c>
      <c r="AK56" s="3">
        <v>-169.97419106394099</v>
      </c>
      <c r="AL56" s="3">
        <v>14426.032730746299</v>
      </c>
      <c r="AM56" s="3">
        <v>2050924.9710758401</v>
      </c>
      <c r="AN56" s="3">
        <v>5719.81437126529</v>
      </c>
      <c r="AO56" s="3">
        <v>2045375.13089564</v>
      </c>
      <c r="AP56" s="3">
        <v>-169.97419106394099</v>
      </c>
      <c r="AQ56" s="3">
        <v>97875292.119438097</v>
      </c>
      <c r="AR56" s="3">
        <v>-5175810.6041025603</v>
      </c>
      <c r="AS56" s="3">
        <v>-6609463343.2579603</v>
      </c>
    </row>
    <row r="57" spans="1:45" x14ac:dyDescent="0.2">
      <c r="A57">
        <v>11</v>
      </c>
      <c r="B57">
        <v>2.1832013401661401</v>
      </c>
      <c r="C57">
        <v>-2.17785137029164</v>
      </c>
      <c r="D57">
        <v>-682.24759372368203</v>
      </c>
      <c r="E57" s="4">
        <f t="shared" si="6"/>
        <v>-39086.870433597272</v>
      </c>
      <c r="F57">
        <v>0</v>
      </c>
      <c r="G57">
        <v>979795.16760023101</v>
      </c>
      <c r="H57">
        <v>-51987.997855032299</v>
      </c>
      <c r="I57">
        <v>-66160496.714224197</v>
      </c>
      <c r="J57">
        <v>0.01</v>
      </c>
      <c r="K57">
        <v>1540589.5927822799</v>
      </c>
      <c r="L57">
        <v>922960.04473307903</v>
      </c>
      <c r="M57">
        <v>1795904.10032461</v>
      </c>
      <c r="N57" s="4">
        <v>-682.787347766729</v>
      </c>
      <c r="O57" s="4">
        <f t="shared" si="7"/>
        <v>-39120.833331964765</v>
      </c>
      <c r="P57">
        <v>1229727514.1965599</v>
      </c>
      <c r="Q57" s="10">
        <v>-0.85111669751595898</v>
      </c>
      <c r="R57" s="10">
        <v>1.5249765396753701</v>
      </c>
      <c r="S57">
        <v>0.21277917437898899</v>
      </c>
      <c r="T57">
        <v>-271789110499.05099</v>
      </c>
      <c r="U57">
        <v>-472508729365.44202</v>
      </c>
      <c r="V57">
        <v>664138387.57979298</v>
      </c>
      <c r="W57">
        <v>0.243978388391694</v>
      </c>
      <c r="X57">
        <v>-0.140337447841584</v>
      </c>
      <c r="Y57">
        <v>-8916577.0414948296</v>
      </c>
      <c r="Z57">
        <v>-17256953.455292299</v>
      </c>
      <c r="AA57">
        <v>19424412.184028499</v>
      </c>
      <c r="AB57">
        <v>231101020575710</v>
      </c>
      <c r="AC57" s="8">
        <v>-680.19988337288203</v>
      </c>
      <c r="AD57" s="4">
        <f t="shared" si="8"/>
        <v>-38972.582542556956</v>
      </c>
      <c r="AE57">
        <v>13300673518.968599</v>
      </c>
      <c r="AF57" s="10">
        <v>9.0025691652000098E-2</v>
      </c>
      <c r="AG57" s="10">
        <v>1.9959394433611799</v>
      </c>
      <c r="AH57">
        <v>-2.2506422913E-2</v>
      </c>
      <c r="AI57">
        <v>3913771551793.8901</v>
      </c>
      <c r="AJ57">
        <v>6804140237875.9805</v>
      </c>
      <c r="AK57">
        <v>-884213741.79948604</v>
      </c>
      <c r="AL57">
        <v>9134678192.4057808</v>
      </c>
      <c r="AM57">
        <v>2208427666900.0098</v>
      </c>
      <c r="AN57">
        <v>1660063169628.0601</v>
      </c>
      <c r="AO57">
        <v>549248711013.75299</v>
      </c>
      <c r="AP57">
        <v>-884213741.79948604</v>
      </c>
      <c r="AQ57">
        <v>56030499096843.703</v>
      </c>
      <c r="AR57">
        <v>97409715515536.906</v>
      </c>
      <c r="AS57">
        <v>-7096564702204990</v>
      </c>
    </row>
    <row r="58" spans="1:45" x14ac:dyDescent="0.2">
      <c r="A58">
        <v>12</v>
      </c>
      <c r="B58">
        <v>9800.1348773424706</v>
      </c>
      <c r="C58">
        <v>-522.05782992061404</v>
      </c>
      <c r="D58">
        <v>-662287.21473596594</v>
      </c>
      <c r="E58" s="4">
        <f t="shared" si="6"/>
        <v>-37946322.322097361</v>
      </c>
      <c r="F58">
        <v>0</v>
      </c>
      <c r="G58">
        <v>560305970763.604</v>
      </c>
      <c r="H58">
        <v>974097103167.37097</v>
      </c>
      <c r="I58">
        <v>-70965713182546.594</v>
      </c>
      <c r="J58">
        <v>0.01</v>
      </c>
      <c r="K58">
        <v>-618732340486.57397</v>
      </c>
      <c r="L58">
        <v>1229657150776.51</v>
      </c>
      <c r="M58">
        <v>1376548734197.1499</v>
      </c>
      <c r="N58" s="4">
        <v>-662289.25171641703</v>
      </c>
      <c r="O58" s="4">
        <f t="shared" si="7"/>
        <v>-37946378.940228112</v>
      </c>
      <c r="P58">
        <v>942578087977373</v>
      </c>
      <c r="Q58" s="10">
        <v>-0.97771167841627005</v>
      </c>
      <c r="R58" s="10">
        <v>0.79004792478177299</v>
      </c>
      <c r="S58">
        <v>0.24442791960406701</v>
      </c>
      <c r="T58" s="1">
        <v>2.2527785539278901E+23</v>
      </c>
      <c r="U58" s="1">
        <v>-4.8829642683579401E+22</v>
      </c>
      <c r="V58" s="1">
        <v>4.4822613352034199E+20</v>
      </c>
      <c r="W58">
        <v>5.9622891284675301E-2</v>
      </c>
      <c r="X58">
        <v>0.275073015949863</v>
      </c>
      <c r="Y58">
        <v>21366864404590.301</v>
      </c>
      <c r="Z58">
        <v>-3535786089935.0898</v>
      </c>
      <c r="AA58">
        <v>21657439316731.898</v>
      </c>
      <c r="AB58" s="1">
        <v>2.8728986512672998E+26</v>
      </c>
      <c r="AC58" s="8">
        <v>-662287.05074222398</v>
      </c>
      <c r="AD58" s="4">
        <f t="shared" si="8"/>
        <v>-37946252.83369603</v>
      </c>
      <c r="AE58" s="1">
        <v>1.48297166925637E+16</v>
      </c>
      <c r="AF58" s="10">
        <v>9.8753433046715799E-2</v>
      </c>
      <c r="AG58" s="10">
        <v>1.9951119331318901</v>
      </c>
      <c r="AH58">
        <v>-2.4688358261678901E-2</v>
      </c>
      <c r="AI58" s="1">
        <v>-9.5345078767845203E+24</v>
      </c>
      <c r="AJ58" s="1">
        <v>2.0666328338334599E+24</v>
      </c>
      <c r="AK58" s="1">
        <v>-1.2057615695836799E+21</v>
      </c>
      <c r="AL58" s="1">
        <v>4.0302058601291999E+21</v>
      </c>
      <c r="AM58" s="1">
        <v>2.74469870047225E+24</v>
      </c>
      <c r="AN58" s="1">
        <v>1.2321862477699301E+23</v>
      </c>
      <c r="AO58" s="1">
        <v>2.6226858372648398E+24</v>
      </c>
      <c r="AP58" s="1">
        <v>-1.2057615695836799E+21</v>
      </c>
      <c r="AQ58" s="1">
        <v>-1.43218923406026E+26</v>
      </c>
      <c r="AR58" s="1">
        <v>3.1043126017690398E+25</v>
      </c>
      <c r="AS58" s="1">
        <v>-8.7963851730157101E+27</v>
      </c>
    </row>
    <row r="59" spans="1:45" x14ac:dyDescent="0.2">
      <c r="A59">
        <v>13</v>
      </c>
      <c r="B59">
        <v>5603069507.7709198</v>
      </c>
      <c r="C59">
        <v>9740970509.6158791</v>
      </c>
      <c r="D59">
        <v>-709657794112.68103</v>
      </c>
      <c r="E59" s="4">
        <f t="shared" si="6"/>
        <v>-40660396501388.312</v>
      </c>
      <c r="F59">
        <v>0</v>
      </c>
      <c r="G59" s="1">
        <v>-1.4321892340597E+24</v>
      </c>
      <c r="H59" s="1">
        <v>3.10431260177878E+23</v>
      </c>
      <c r="I59" s="1">
        <v>-8.7963851730228108E+25</v>
      </c>
      <c r="J59">
        <v>0.01</v>
      </c>
      <c r="K59" s="1">
        <v>4.29260065333334E+22</v>
      </c>
      <c r="L59" s="1">
        <v>5.5581414265343399E+23</v>
      </c>
      <c r="M59" s="1">
        <v>5.57469284544423E+23</v>
      </c>
      <c r="N59" s="4">
        <v>-709657794114.17505</v>
      </c>
      <c r="O59" s="4">
        <f t="shared" si="7"/>
        <v>-40660396501306.141</v>
      </c>
      <c r="P59" s="1">
        <v>3.8172156152427002E+26</v>
      </c>
      <c r="Q59" s="10">
        <v>0.46507699643112199</v>
      </c>
      <c r="R59" s="10">
        <v>0.114729765895969</v>
      </c>
      <c r="S59">
        <v>-0.11626924910778</v>
      </c>
      <c r="T59" s="1">
        <v>-1.4211337413478999E+46</v>
      </c>
      <c r="U59" s="1">
        <v>-2.36321443915507E+45</v>
      </c>
      <c r="V59" s="1">
        <v>-3.4967930871513998E+43</v>
      </c>
      <c r="W59">
        <v>4.6185821161932303E-2</v>
      </c>
      <c r="X59">
        <v>-0.27764531905381701</v>
      </c>
      <c r="Y59" s="1">
        <v>-2.7463634656289801E+25</v>
      </c>
      <c r="Z59" s="1">
        <v>-4.0198549011554499E+24</v>
      </c>
      <c r="AA59" s="1">
        <v>2.7756268876787201E+25</v>
      </c>
      <c r="AB59" s="1">
        <v>4.7187640795081002E+50</v>
      </c>
      <c r="AC59" s="8">
        <v>-709657794109.68506</v>
      </c>
      <c r="AD59" s="4">
        <f t="shared" si="8"/>
        <v>-40660396501048.883</v>
      </c>
      <c r="AE59" s="1">
        <v>1.9005829722786101E+28</v>
      </c>
      <c r="AF59" s="10">
        <v>-3.8914264131353703E-2</v>
      </c>
      <c r="AG59" s="10">
        <v>1.9992425531607001</v>
      </c>
      <c r="AH59">
        <v>9.7285660328384291E-3</v>
      </c>
      <c r="AI59" s="1">
        <v>1.5823425996472199E+49</v>
      </c>
      <c r="AJ59" s="1">
        <v>2.63156894708092E+48</v>
      </c>
      <c r="AK59" s="1">
        <v>7.8041573499497105E+44</v>
      </c>
      <c r="AL59" s="1">
        <v>1.8890065843960402E+44</v>
      </c>
      <c r="AM59" s="1">
        <v>4.5156217478151697E+48</v>
      </c>
      <c r="AN59" s="1">
        <v>1.2154117276517399E+47</v>
      </c>
      <c r="AO59" s="1">
        <v>4.3933001593150001E+48</v>
      </c>
      <c r="AP59" s="1">
        <v>7.8041573499497105E+44</v>
      </c>
      <c r="AQ59" s="1">
        <v>2.43218687062442E+50</v>
      </c>
      <c r="AR59" s="1">
        <v>4.0449318963719499E+49</v>
      </c>
      <c r="AS59" s="1">
        <v>-1.4451337758652101E+52</v>
      </c>
    </row>
    <row r="60" spans="1:45" x14ac:dyDescent="0.2">
      <c r="A60">
        <v>14</v>
      </c>
      <c r="B60" s="1">
        <v>-1.4321892340591401E+22</v>
      </c>
      <c r="C60" s="1">
        <v>3.1043126017885198E+21</v>
      </c>
      <c r="D60" s="1">
        <v>-8.7963851730299103E+23</v>
      </c>
      <c r="E60" s="4">
        <f t="shared" si="6"/>
        <v>-5.0399574538606823E+25</v>
      </c>
      <c r="F60">
        <v>0</v>
      </c>
      <c r="G60" s="1">
        <v>2.43218687062442E+48</v>
      </c>
      <c r="H60" s="1">
        <v>4.0449318963719499E+47</v>
      </c>
      <c r="I60" s="1">
        <v>-1.44513377586521E+50</v>
      </c>
      <c r="J60">
        <v>0.01</v>
      </c>
      <c r="K60" s="1">
        <v>2.8187207457827901E+48</v>
      </c>
      <c r="L60" s="1">
        <v>-2.02163565576205E+48</v>
      </c>
      <c r="M60" s="1">
        <v>3.4687457916882203E+48</v>
      </c>
      <c r="N60" s="6">
        <v>-8.7963851730299103E+23</v>
      </c>
      <c r="O60" s="4">
        <f t="shared" si="7"/>
        <v>-5.0399574538606823E+25</v>
      </c>
      <c r="P60" s="1">
        <v>2.37518926485079E+51</v>
      </c>
      <c r="Q60" s="10">
        <v>0.310754532647042</v>
      </c>
      <c r="R60" s="10">
        <v>4.95097999246292E-2</v>
      </c>
      <c r="S60">
        <v>-7.7688633161760501E-2</v>
      </c>
      <c r="T60" s="1">
        <v>1.64043326963822E+95</v>
      </c>
      <c r="U60" s="1">
        <v>3.2763842280390602E+95</v>
      </c>
      <c r="V60" s="1">
        <v>-9.0461879720360004E+92</v>
      </c>
      <c r="W60">
        <v>-0.277954976165596</v>
      </c>
      <c r="X60">
        <v>-4.4284133656206898E-2</v>
      </c>
      <c r="Y60" s="1">
        <v>-4.3889991615820501E+48</v>
      </c>
      <c r="Z60" s="1">
        <v>4.3218531637859199E+49</v>
      </c>
      <c r="AA60" s="1">
        <v>4.3440819404944502E+49</v>
      </c>
      <c r="AB60" s="1">
        <v>1.15585168422596E+99</v>
      </c>
      <c r="AC60" s="9">
        <v>-8.7963851730299103E+23</v>
      </c>
      <c r="AD60" s="4">
        <f t="shared" si="8"/>
        <v>-5.0399574538606823E+25</v>
      </c>
      <c r="AE60" s="1">
        <v>2.9745670078846801E+52</v>
      </c>
      <c r="AF60" s="10">
        <v>0.310754532647042</v>
      </c>
      <c r="AG60" s="10">
        <v>4.95097999246292E-2</v>
      </c>
      <c r="AH60">
        <v>-7.7688633161760501E-2</v>
      </c>
      <c r="AI60" s="1">
        <v>-5.9766290703795096E+96</v>
      </c>
      <c r="AJ60" s="1">
        <v>-1.5847938465664399E+96</v>
      </c>
      <c r="AK60" s="1">
        <v>-1.52654113724898E+94</v>
      </c>
      <c r="AL60" s="1">
        <v>3.7222089721952901E+93</v>
      </c>
      <c r="AM60" s="1">
        <v>1.6056608391101001E+95</v>
      </c>
      <c r="AN60" s="1">
        <v>4.4050133584975801E+95</v>
      </c>
      <c r="AO60" s="1">
        <v>-2.64669840566258E+95</v>
      </c>
      <c r="AP60" s="1">
        <v>-1.52654113724898E+94</v>
      </c>
      <c r="AQ60" s="1">
        <v>-8.9424396052549104E+97</v>
      </c>
      <c r="AR60" s="1">
        <v>-1.93408526732697E+97</v>
      </c>
      <c r="AS60" s="1">
        <v>-5.2574959294408402E+98</v>
      </c>
    </row>
    <row r="61" spans="1:45" x14ac:dyDescent="0.2">
      <c r="A61">
        <v>15</v>
      </c>
      <c r="B61" s="1">
        <v>2.4321868706244201E+46</v>
      </c>
      <c r="C61" s="1">
        <v>4.0449318963719501E+45</v>
      </c>
      <c r="D61" s="1">
        <v>-1.44513377586521E+48</v>
      </c>
      <c r="E61" s="4">
        <f t="shared" si="6"/>
        <v>-8.2800066188881201E+49</v>
      </c>
      <c r="F61">
        <v>0</v>
      </c>
      <c r="G61" s="1">
        <v>-8.9424396052549103E+95</v>
      </c>
      <c r="H61" s="1">
        <v>-1.9340852673269701E+95</v>
      </c>
      <c r="I61" s="1">
        <v>-5.2574959294408399E+96</v>
      </c>
      <c r="J61">
        <v>0.01</v>
      </c>
      <c r="K61" s="1">
        <v>-8.1838857630114695E+95</v>
      </c>
      <c r="L61" s="1">
        <v>-1.4614029405287E+95</v>
      </c>
      <c r="M61" s="1">
        <v>8.3133437759187898E+95</v>
      </c>
      <c r="N61" s="6">
        <v>-1.44513377586521E+48</v>
      </c>
      <c r="O61" s="4">
        <f t="shared" si="7"/>
        <v>-8.2800066188881201E+49</v>
      </c>
      <c r="P61" s="1">
        <v>5.6924796676917406E+98</v>
      </c>
      <c r="Q61" s="10">
        <v>-0.89769754992877804</v>
      </c>
      <c r="R61" s="10">
        <v>1.4406121978019499</v>
      </c>
      <c r="S61">
        <v>0.22442438748219401</v>
      </c>
      <c r="T61" s="1">
        <v>8.4297266726651395E+190</v>
      </c>
      <c r="U61" s="1">
        <v>7.6043345132005603E+190</v>
      </c>
      <c r="V61" s="1">
        <v>1.5010138807520901E+188</v>
      </c>
      <c r="W61">
        <v>0.14885350430557701</v>
      </c>
      <c r="X61">
        <v>-0.23887797622394399</v>
      </c>
      <c r="Y61" s="1">
        <v>-2.2328683880139099E+96</v>
      </c>
      <c r="Z61" s="1">
        <v>-1.02755380931788E+96</v>
      </c>
      <c r="AA61" s="1">
        <v>2.45796014394773E+96</v>
      </c>
      <c r="AB61" s="1">
        <v>3.7004604424067799E+192</v>
      </c>
      <c r="AC61" s="9">
        <v>-1.44513377586521E+48</v>
      </c>
      <c r="AD61" s="4">
        <f t="shared" si="8"/>
        <v>-8.2800066188881201E+49</v>
      </c>
      <c r="AE61" s="1">
        <v>1.6830638213169199E+99</v>
      </c>
      <c r="AF61" s="10">
        <v>-0.89769754992877804</v>
      </c>
      <c r="AG61" s="10">
        <v>1.4406121978019499</v>
      </c>
      <c r="AH61">
        <v>0.22442438748219401</v>
      </c>
      <c r="AI61" s="1">
        <v>5.8718291627835101E+190</v>
      </c>
      <c r="AJ61" s="1">
        <v>8.9186908028338299E+190</v>
      </c>
      <c r="AK61" s="1">
        <v>1.4118050659216901E+188</v>
      </c>
      <c r="AL61" s="1">
        <v>-1.58658765648527E+189</v>
      </c>
      <c r="AM61" s="1">
        <v>2.7443470976174201E+190</v>
      </c>
      <c r="AN61" s="1">
        <v>1.3275783798197301E+190</v>
      </c>
      <c r="AO61" s="1">
        <v>1.40265066713846E+190</v>
      </c>
      <c r="AP61" s="1">
        <v>1.4118050659216901E+188</v>
      </c>
      <c r="AQ61" s="1">
        <v>2.2002393592997901E+192</v>
      </c>
      <c r="AR61" s="1">
        <v>2.5420038947745198E+192</v>
      </c>
      <c r="AS61" s="1">
        <v>-8.2746284848144799E+193</v>
      </c>
    </row>
    <row r="62" spans="1:45" x14ac:dyDescent="0.2">
      <c r="A62">
        <v>16</v>
      </c>
      <c r="B62" s="1">
        <v>-8.94243960525491E+93</v>
      </c>
      <c r="C62" s="1">
        <v>-1.9340852673269701E+93</v>
      </c>
      <c r="D62" s="1">
        <v>-5.2574959294408399E+94</v>
      </c>
      <c r="E62" s="4">
        <f t="shared" si="6"/>
        <v>-3.0123232756417017E+96</v>
      </c>
      <c r="F62">
        <v>0</v>
      </c>
      <c r="G62" s="1">
        <v>2.2002393592997898E+190</v>
      </c>
      <c r="H62" s="1">
        <v>2.5420038947745199E+190</v>
      </c>
      <c r="I62" s="1">
        <v>-8.2746284848144804E+191</v>
      </c>
      <c r="J62">
        <v>0.01</v>
      </c>
      <c r="K62" s="1">
        <v>3.3048396385587402E+190</v>
      </c>
      <c r="L62" s="1">
        <v>3.4129953388738701E+190</v>
      </c>
      <c r="M62" t="s">
        <v>42</v>
      </c>
      <c r="N62" s="6">
        <v>-5.2574959294408399E+94</v>
      </c>
      <c r="O62" s="4">
        <f t="shared" si="7"/>
        <v>-3.0123232756417017E+96</v>
      </c>
      <c r="P62" t="s">
        <v>42</v>
      </c>
      <c r="Q62" s="10">
        <v>-0.97242067216706696</v>
      </c>
      <c r="R62" s="10">
        <v>1.2332338661990301</v>
      </c>
      <c r="S62">
        <v>0.24310516804176599</v>
      </c>
      <c r="T62" t="e" cm="1">
        <f t="array" ref="T62">-inf</f>
        <v>#NAME?</v>
      </c>
      <c r="U62" t="e" cm="1">
        <f t="array" ref="U62">-inf</f>
        <v>#NAME?</v>
      </c>
      <c r="V62" t="s">
        <v>42</v>
      </c>
      <c r="W62">
        <v>0.174274573539141</v>
      </c>
      <c r="X62">
        <v>-0.22101680091488099</v>
      </c>
      <c r="Y62" s="1">
        <v>-1.7292706745269899E+191</v>
      </c>
      <c r="Z62" s="1">
        <v>-1.28284333540375E+191</v>
      </c>
      <c r="AA62" t="s">
        <v>42</v>
      </c>
      <c r="AB62" t="s">
        <v>42</v>
      </c>
      <c r="AC62" s="9">
        <v>-5.2574959294408399E+94</v>
      </c>
      <c r="AD62" s="4">
        <f t="shared" si="8"/>
        <v>-3.0123232756417017E+96</v>
      </c>
      <c r="AE62" t="s">
        <v>42</v>
      </c>
      <c r="AF62" s="10">
        <v>-0.97242067216706696</v>
      </c>
      <c r="AG62" s="10">
        <v>1.2332338661990301</v>
      </c>
      <c r="AH62">
        <v>0.24310516804176599</v>
      </c>
      <c r="AI62" t="s">
        <v>42</v>
      </c>
      <c r="AJ62" t="s">
        <v>42</v>
      </c>
      <c r="AK62" t="s">
        <v>42</v>
      </c>
      <c r="AL62" t="s">
        <v>42</v>
      </c>
      <c r="AM62" t="s">
        <v>42</v>
      </c>
      <c r="AN62" t="s">
        <v>42</v>
      </c>
      <c r="AO62" t="s">
        <v>42</v>
      </c>
      <c r="AP62" t="s">
        <v>42</v>
      </c>
      <c r="AQ62" t="s">
        <v>43</v>
      </c>
      <c r="AR62" t="s">
        <v>43</v>
      </c>
      <c r="AS62" t="e" cm="1">
        <f t="array" ref="AS62">-inf</f>
        <v>#NAME?</v>
      </c>
    </row>
    <row r="64" spans="1:45" x14ac:dyDescent="0.2">
      <c r="A64" s="2" t="s">
        <v>49</v>
      </c>
    </row>
    <row r="66" spans="1:45" s="15" customFormat="1" x14ac:dyDescent="0.2">
      <c r="A66" s="15" t="s">
        <v>0</v>
      </c>
      <c r="B66" s="15" t="s">
        <v>1</v>
      </c>
      <c r="C66" s="15" t="s">
        <v>2</v>
      </c>
      <c r="D66" s="15" t="s">
        <v>3</v>
      </c>
      <c r="E66" s="5" t="s">
        <v>4</v>
      </c>
      <c r="F66" s="15" t="s">
        <v>5</v>
      </c>
      <c r="G66" s="15" t="s">
        <v>6</v>
      </c>
      <c r="H66" s="15" t="s">
        <v>7</v>
      </c>
      <c r="I66" s="15" t="s">
        <v>23</v>
      </c>
      <c r="J66" s="15" t="s">
        <v>24</v>
      </c>
      <c r="K66" s="15" t="s">
        <v>25</v>
      </c>
      <c r="L66" s="15" t="s">
        <v>26</v>
      </c>
      <c r="M66" s="15" t="s">
        <v>27</v>
      </c>
      <c r="N66" s="5" t="s">
        <v>28</v>
      </c>
      <c r="O66" s="5" t="s">
        <v>29</v>
      </c>
      <c r="P66" s="15" t="s">
        <v>30</v>
      </c>
      <c r="Q66" s="11" t="s">
        <v>31</v>
      </c>
      <c r="R66" s="11" t="s">
        <v>32</v>
      </c>
      <c r="S66" s="15" t="s">
        <v>33</v>
      </c>
      <c r="T66" s="15" t="s">
        <v>34</v>
      </c>
      <c r="U66" s="15" t="s">
        <v>8</v>
      </c>
      <c r="V66" s="15" t="s">
        <v>9</v>
      </c>
      <c r="W66" s="15" t="s">
        <v>10</v>
      </c>
      <c r="X66" s="15" t="s">
        <v>11</v>
      </c>
      <c r="Y66" s="15" t="s">
        <v>12</v>
      </c>
      <c r="Z66" s="15" t="s">
        <v>13</v>
      </c>
      <c r="AA66" s="15" t="s">
        <v>35</v>
      </c>
      <c r="AB66" s="15" t="s">
        <v>36</v>
      </c>
      <c r="AC66" s="5" t="s">
        <v>14</v>
      </c>
      <c r="AD66" s="5" t="s">
        <v>15</v>
      </c>
      <c r="AE66" s="15" t="s">
        <v>37</v>
      </c>
      <c r="AF66" s="11" t="s">
        <v>16</v>
      </c>
      <c r="AG66" s="11" t="s">
        <v>17</v>
      </c>
      <c r="AH66" s="15" t="s">
        <v>38</v>
      </c>
      <c r="AI66" s="15" t="s">
        <v>39</v>
      </c>
      <c r="AJ66" s="15" t="s">
        <v>21</v>
      </c>
      <c r="AK66" s="15" t="s">
        <v>18</v>
      </c>
      <c r="AL66" s="15" t="s">
        <v>19</v>
      </c>
      <c r="AM66" s="15" t="s">
        <v>20</v>
      </c>
      <c r="AN66" s="15" t="s">
        <v>40</v>
      </c>
      <c r="AO66" s="15" t="s">
        <v>41</v>
      </c>
      <c r="AP66" s="15" t="s">
        <v>22</v>
      </c>
      <c r="AQ66"/>
      <c r="AR66"/>
      <c r="AS66"/>
    </row>
    <row r="67" spans="1:45" s="12" customFormat="1" x14ac:dyDescent="0.2">
      <c r="A67" s="12">
        <v>0</v>
      </c>
      <c r="B67" s="12">
        <v>-8.5</v>
      </c>
      <c r="C67" s="12">
        <v>0</v>
      </c>
      <c r="D67" s="12">
        <v>0</v>
      </c>
      <c r="E67" s="4">
        <v>0</v>
      </c>
      <c r="F67" s="12">
        <v>6</v>
      </c>
      <c r="G67" s="12">
        <v>3</v>
      </c>
      <c r="H67" s="12">
        <v>0</v>
      </c>
      <c r="I67" s="12">
        <v>0.01</v>
      </c>
      <c r="J67" s="12">
        <v>6</v>
      </c>
      <c r="K67" s="12">
        <v>3</v>
      </c>
      <c r="L67" s="12">
        <v>6.7082039324994396</v>
      </c>
      <c r="M67" s="12">
        <v>-0.46364754233414801</v>
      </c>
      <c r="N67" s="4">
        <v>4593.3760856969302</v>
      </c>
      <c r="O67" s="4">
        <v>-0.73252195687030697</v>
      </c>
      <c r="P67" s="12">
        <v>0.30343358339617199</v>
      </c>
      <c r="Q67" s="10">
        <v>8.0131290376906195E-2</v>
      </c>
      <c r="R67" s="10">
        <v>0.244720155848135</v>
      </c>
      <c r="S67" s="12">
        <v>-3.4442148082433999</v>
      </c>
      <c r="T67" s="12">
        <v>3.4896175318013698E-3</v>
      </c>
      <c r="U67" s="12">
        <v>-0.224559341118618</v>
      </c>
      <c r="V67" s="13">
        <v>-2.1101987955775301E-19</v>
      </c>
      <c r="W67" s="12">
        <v>6</v>
      </c>
      <c r="X67" s="13">
        <v>3</v>
      </c>
      <c r="Y67" s="12">
        <v>6.7082039324994396</v>
      </c>
      <c r="Z67" s="12">
        <v>27.5625000000006</v>
      </c>
      <c r="AA67" s="12">
        <v>-0.46364754233414801</v>
      </c>
      <c r="AB67" s="12">
        <v>4593.3760856969302</v>
      </c>
      <c r="AC67" s="4">
        <v>-0.88964907268864601</v>
      </c>
      <c r="AD67" s="4">
        <v>0.334298181783523</v>
      </c>
      <c r="AE67" s="12">
        <v>0.222412268172161</v>
      </c>
      <c r="AF67" s="14">
        <v>4.6321047061191299E-2</v>
      </c>
      <c r="AG67" s="14">
        <v>-0.44289886935934802</v>
      </c>
      <c r="AH67" s="12">
        <v>1.0421404840541999E-3</v>
      </c>
      <c r="AI67" s="12">
        <v>-0.12706651471709601</v>
      </c>
      <c r="AJ67" s="12">
        <v>-9.8414937801462099E-2</v>
      </c>
      <c r="AK67" s="12">
        <v>-9.9457078285516295E-2</v>
      </c>
      <c r="AL67" s="13">
        <v>-9.7746617718416101E-21</v>
      </c>
      <c r="AM67" s="12">
        <v>1.0421404840541999E-3</v>
      </c>
      <c r="AN67" s="12">
        <v>4.4775569678357998</v>
      </c>
      <c r="AO67" s="13">
        <v>-69.611748886196096</v>
      </c>
      <c r="AP67" s="12">
        <v>721.57778133557997</v>
      </c>
      <c r="AQ67"/>
      <c r="AR67"/>
      <c r="AS67"/>
    </row>
    <row r="68" spans="1:45" s="12" customFormat="1" x14ac:dyDescent="0.2">
      <c r="A68" s="12">
        <v>1</v>
      </c>
      <c r="B68" s="12">
        <v>-8.44</v>
      </c>
      <c r="C68" s="12">
        <v>0.03</v>
      </c>
      <c r="D68" s="12">
        <v>0</v>
      </c>
      <c r="E68" s="4">
        <v>0</v>
      </c>
      <c r="F68" s="12">
        <v>6.0447755696783503</v>
      </c>
      <c r="G68" s="12">
        <v>2.3038825111380299</v>
      </c>
      <c r="H68" s="12">
        <v>7.2157778133557997</v>
      </c>
      <c r="I68" s="12">
        <v>0.01</v>
      </c>
      <c r="J68" s="12">
        <v>6.1918405569332498</v>
      </c>
      <c r="K68" s="12">
        <v>1.60305007275263</v>
      </c>
      <c r="L68" s="12">
        <v>6.3959877281180502</v>
      </c>
      <c r="M68" s="12">
        <v>-0.25333475439016601</v>
      </c>
      <c r="N68" s="4">
        <v>4379.5891374760304</v>
      </c>
      <c r="O68" s="4">
        <v>-0.264034713842693</v>
      </c>
      <c r="P68" s="12">
        <v>0.15484671268755201</v>
      </c>
      <c r="Q68" s="10">
        <v>-2.0249034126440999E-2</v>
      </c>
      <c r="R68" s="10">
        <v>-0.33147500484519898</v>
      </c>
      <c r="S68" s="12">
        <v>-1.16557813192033</v>
      </c>
      <c r="T68" s="12">
        <v>-8.0164619567821499E-4</v>
      </c>
      <c r="U68" s="12">
        <v>-0.224559341118618</v>
      </c>
      <c r="V68" s="13">
        <v>-2.1101987955775301E-19</v>
      </c>
      <c r="W68" s="12">
        <v>6.0447755696783503</v>
      </c>
      <c r="X68" s="13">
        <v>0.10143556568178699</v>
      </c>
      <c r="Y68" s="12">
        <v>6.0456265896734402</v>
      </c>
      <c r="Z68" s="12">
        <v>22.386630527831901</v>
      </c>
      <c r="AA68" s="12">
        <v>-1.6779122434016101E-2</v>
      </c>
      <c r="AB68" s="12">
        <v>4139.6828241195899</v>
      </c>
      <c r="AC68" s="4">
        <v>-3.6888533289929401E-2</v>
      </c>
      <c r="AD68" s="4">
        <v>5.6839856836757498E-2</v>
      </c>
      <c r="AE68" s="12">
        <v>9.2221333224823607E-3</v>
      </c>
      <c r="AF68" s="14">
        <v>-2.1393106633174199E-2</v>
      </c>
      <c r="AG68" s="14">
        <v>-1.4399737181254001E-2</v>
      </c>
      <c r="AH68" s="13">
        <v>3.5096923532699402E-5</v>
      </c>
      <c r="AI68" s="12">
        <v>-3.6540254615008302E-2</v>
      </c>
      <c r="AJ68" s="12">
        <v>-3.19849857017099E-3</v>
      </c>
      <c r="AK68" s="12">
        <v>-3.23359549370369E-3</v>
      </c>
      <c r="AL68" s="13">
        <v>4.5143707850985998E-21</v>
      </c>
      <c r="AM68" s="13">
        <v>3.5096923532699402E-5</v>
      </c>
      <c r="AN68" s="12">
        <v>-5.4287401765903498</v>
      </c>
      <c r="AO68" s="13">
        <v>-27.963505678486001</v>
      </c>
      <c r="AP68" s="12">
        <v>127.17055454502901</v>
      </c>
      <c r="AQ68"/>
      <c r="AR68"/>
      <c r="AS68"/>
    </row>
    <row r="69" spans="1:45" s="12" customFormat="1" x14ac:dyDescent="0.2">
      <c r="A69" s="12">
        <v>2</v>
      </c>
      <c r="B69" s="12">
        <v>-8.3795522443032109</v>
      </c>
      <c r="C69" s="12">
        <v>5.3038825111380299E-2</v>
      </c>
      <c r="D69" s="12">
        <v>7.2157778133558004E-2</v>
      </c>
      <c r="E69" s="4">
        <v>0</v>
      </c>
      <c r="F69" s="12">
        <v>5.9904881679124502</v>
      </c>
      <c r="G69" s="12">
        <v>2.0242474543531701</v>
      </c>
      <c r="H69" s="12">
        <v>8.4874833588060898</v>
      </c>
      <c r="I69" s="12">
        <v>0.01</v>
      </c>
      <c r="J69" s="12">
        <v>6.2224531102598801</v>
      </c>
      <c r="K69" s="12">
        <v>1.2145170497853599</v>
      </c>
      <c r="L69" s="12">
        <v>6.3398717947292198</v>
      </c>
      <c r="M69" s="12">
        <v>-0.12060175695926501</v>
      </c>
      <c r="N69" s="4">
        <v>4341.1643088559504</v>
      </c>
      <c r="O69" s="4">
        <v>-5.0239213020972798E-2</v>
      </c>
      <c r="P69" s="12">
        <v>9.0571083445358094E-2</v>
      </c>
      <c r="Q69" s="10">
        <v>-4.5698529954546901E-2</v>
      </c>
      <c r="R69" s="10">
        <v>-0.30833994722001101</v>
      </c>
      <c r="S69" s="12">
        <v>-0.25928938194342899</v>
      </c>
      <c r="T69" s="12">
        <v>-1.7775685631779799E-3</v>
      </c>
      <c r="U69" s="12">
        <v>-0.22397498312776101</v>
      </c>
      <c r="V69" s="12">
        <v>-1.6189645349633498E-2</v>
      </c>
      <c r="W69" s="12">
        <v>6.1772583099704796</v>
      </c>
      <c r="X69" s="12">
        <v>-0.55961639891921999</v>
      </c>
      <c r="Y69" s="12">
        <v>6.20255517847602</v>
      </c>
      <c r="Z69" s="12">
        <v>23.5639105794993</v>
      </c>
      <c r="AA69" s="12">
        <v>0.162504147779301</v>
      </c>
      <c r="AB69" s="12">
        <v>4247.1381182968798</v>
      </c>
      <c r="AC69" s="4">
        <v>0.29709868374983001</v>
      </c>
      <c r="AD69" s="4">
        <v>0.10324243697617</v>
      </c>
      <c r="AE69" s="12">
        <v>-7.4274670937457599E-2</v>
      </c>
      <c r="AF69" s="14">
        <v>-3.0451012322002799E-2</v>
      </c>
      <c r="AG69" s="14">
        <v>0.12225974498342999</v>
      </c>
      <c r="AH69" s="12">
        <v>-2.9753428972963797E-4</v>
      </c>
      <c r="AI69" s="12">
        <v>-3.7467127746776598E-3</v>
      </c>
      <c r="AJ69" s="12">
        <v>2.7578581120169102E-2</v>
      </c>
      <c r="AK69" s="12">
        <v>2.73831243198682E-2</v>
      </c>
      <c r="AL69" s="12">
        <v>4.9299109003054804E-4</v>
      </c>
      <c r="AM69" s="12">
        <v>-2.9753428972963797E-4</v>
      </c>
      <c r="AN69" s="12">
        <v>-5.2121686083386702</v>
      </c>
      <c r="AO69" s="12">
        <v>-11.918148260922999</v>
      </c>
      <c r="AP69" s="12">
        <v>-76.265903442350705</v>
      </c>
      <c r="AQ69"/>
      <c r="AR69"/>
      <c r="AS69"/>
    </row>
    <row r="70" spans="1:45" s="12" customFormat="1" x14ac:dyDescent="0.2">
      <c r="A70" s="12">
        <v>3</v>
      </c>
      <c r="B70" s="12">
        <v>-8.3196473626240905</v>
      </c>
      <c r="C70" s="12">
        <v>7.3281299654912105E-2</v>
      </c>
      <c r="D70" s="12">
        <v>0.157032611721618</v>
      </c>
      <c r="E70" s="4">
        <v>0</v>
      </c>
      <c r="F70" s="12">
        <v>5.9383664818290596</v>
      </c>
      <c r="G70" s="12">
        <v>1.90506597174394</v>
      </c>
      <c r="H70" s="12">
        <v>7.72482432438259</v>
      </c>
      <c r="I70" s="12">
        <v>0.01</v>
      </c>
      <c r="J70" s="12">
        <v>6.2112029753215303</v>
      </c>
      <c r="K70" s="12">
        <v>1.1886456960196199</v>
      </c>
      <c r="L70" s="12">
        <v>6.3239165863656099</v>
      </c>
      <c r="M70" s="12">
        <v>-3.2052447112207498E-2</v>
      </c>
      <c r="N70" s="4">
        <v>4330.2391382324604</v>
      </c>
      <c r="O70" s="4">
        <v>-9.2456212072566005E-2</v>
      </c>
      <c r="P70" s="12">
        <v>6.0540052942761997E-2</v>
      </c>
      <c r="Q70" s="10">
        <v>-3.7654205956818197E-2</v>
      </c>
      <c r="R70" s="10">
        <v>-0.16287008255992899</v>
      </c>
      <c r="S70" s="12">
        <v>-0.395487762592443</v>
      </c>
      <c r="T70" s="12">
        <v>-1.4572999146604899E-3</v>
      </c>
      <c r="U70" s="12">
        <v>-0.22179629454017799</v>
      </c>
      <c r="V70" s="12">
        <v>-3.5118391362283001E-2</v>
      </c>
      <c r="W70" s="12">
        <v>6.3071015172109002</v>
      </c>
      <c r="X70" s="12">
        <v>-0.42374412867165701</v>
      </c>
      <c r="Y70" s="12">
        <v>6.3213201655183298</v>
      </c>
      <c r="Z70" s="12">
        <v>24.4749417889306</v>
      </c>
      <c r="AA70" s="12">
        <v>0.22411702576558301</v>
      </c>
      <c r="AB70" s="12">
        <v>4328.4612648183102</v>
      </c>
      <c r="AC70" s="4">
        <v>0.39715566493905102</v>
      </c>
      <c r="AD70" s="4">
        <v>0.143255199118657</v>
      </c>
      <c r="AE70" s="12">
        <v>-9.9288916234762895E-2</v>
      </c>
      <c r="AF70" s="14">
        <v>-4.8393565127956499E-2</v>
      </c>
      <c r="AG70" s="14">
        <v>0.16887001234267501</v>
      </c>
      <c r="AH70" s="12">
        <v>-4.1311537567241102E-4</v>
      </c>
      <c r="AI70" s="12">
        <v>-1.02307133603287E-2</v>
      </c>
      <c r="AJ70" s="12">
        <v>3.8741131780467002E-2</v>
      </c>
      <c r="AK70" s="12">
        <v>3.7454742996559702E-2</v>
      </c>
      <c r="AL70" s="12">
        <v>1.69950415957971E-3</v>
      </c>
      <c r="AM70" s="12">
        <v>-4.1311537567241102E-4</v>
      </c>
      <c r="AN70" s="12">
        <v>-3.2502099644290201</v>
      </c>
      <c r="AO70" s="12">
        <v>-13.2964269269195</v>
      </c>
      <c r="AP70" s="12">
        <v>-91.238034165400705</v>
      </c>
      <c r="AQ70"/>
      <c r="AR70"/>
      <c r="AS70"/>
    </row>
    <row r="71" spans="1:45" s="12" customFormat="1" x14ac:dyDescent="0.2">
      <c r="A71" s="12">
        <v>4</v>
      </c>
      <c r="B71" s="12">
        <v>-8.2602636978058008</v>
      </c>
      <c r="C71" s="12">
        <v>9.2331959372351599E-2</v>
      </c>
      <c r="D71" s="12">
        <v>0.23428085496544401</v>
      </c>
      <c r="E71" s="4">
        <v>0</v>
      </c>
      <c r="F71" s="12">
        <v>5.9058643821847703</v>
      </c>
      <c r="G71" s="12">
        <v>1.7721017024747501</v>
      </c>
      <c r="H71" s="12">
        <v>6.8124439827285803</v>
      </c>
      <c r="I71" s="12">
        <v>0.01</v>
      </c>
      <c r="J71" s="12">
        <v>6.1945157716698303</v>
      </c>
      <c r="K71" s="12">
        <v>1.16075044438262</v>
      </c>
      <c r="L71" s="12">
        <v>6.3023303023248296</v>
      </c>
      <c r="M71" s="12">
        <v>4.9045417849335297E-2</v>
      </c>
      <c r="N71" s="4">
        <v>4315.45814440912</v>
      </c>
      <c r="O71" s="4">
        <v>0.16284477548899901</v>
      </c>
      <c r="P71" s="12">
        <v>6.9282924480753405E-2</v>
      </c>
      <c r="Q71" s="10">
        <v>-3.8035487588522703E-2</v>
      </c>
      <c r="R71" s="10">
        <v>-0.37704288670647701</v>
      </c>
      <c r="S71" s="12">
        <v>0.566192458372201</v>
      </c>
      <c r="T71" s="12">
        <v>-1.4620239573016199E-3</v>
      </c>
      <c r="U71" s="12">
        <v>-0.21842472522812301</v>
      </c>
      <c r="V71" s="12">
        <v>-5.2130001847752898E-2</v>
      </c>
      <c r="W71" s="12">
        <v>6.3885694547044602</v>
      </c>
      <c r="X71" s="12">
        <v>-0.25043271329716899</v>
      </c>
      <c r="Y71" s="12">
        <v>6.3934760671698196</v>
      </c>
      <c r="Z71" s="12">
        <v>25.036878435652302</v>
      </c>
      <c r="AA71" s="12">
        <v>0.27346091214199097</v>
      </c>
      <c r="AB71" s="12">
        <v>4377.8693025617804</v>
      </c>
      <c r="AC71" s="4">
        <v>0.49995031076576502</v>
      </c>
      <c r="AD71" s="4">
        <v>0.17766595266236199</v>
      </c>
      <c r="AE71" s="12">
        <v>-0.124987577691441</v>
      </c>
      <c r="AF71" s="14">
        <v>-6.7226297607687696E-2</v>
      </c>
      <c r="AG71" s="14">
        <v>0.21559102767899899</v>
      </c>
      <c r="AH71" s="12">
        <v>-5.3198079406663605E-4</v>
      </c>
      <c r="AI71" s="12">
        <v>2.66030278946351E-2</v>
      </c>
      <c r="AJ71" s="12">
        <v>5.0062937206873902E-2</v>
      </c>
      <c r="AK71" s="12">
        <v>4.7090410982434203E-2</v>
      </c>
      <c r="AL71" s="12">
        <v>3.5045070185063501E-3</v>
      </c>
      <c r="AM71" s="12">
        <v>-5.3198079406663605E-4</v>
      </c>
      <c r="AN71" s="12">
        <v>-6.83491052791023</v>
      </c>
      <c r="AO71" s="12">
        <v>2.2174382469415401</v>
      </c>
      <c r="AP71" s="12">
        <v>-245.34371401277301</v>
      </c>
      <c r="AQ71"/>
      <c r="AR71"/>
      <c r="AS71"/>
    </row>
    <row r="72" spans="1:45" s="12" customFormat="1" x14ac:dyDescent="0.2">
      <c r="A72" s="12">
        <v>5</v>
      </c>
      <c r="B72" s="12">
        <v>-8.2012050539839496</v>
      </c>
      <c r="C72" s="12">
        <v>0.110052976397099</v>
      </c>
      <c r="D72" s="12">
        <v>0.30240529479272998</v>
      </c>
      <c r="E72" s="4">
        <v>0</v>
      </c>
      <c r="F72" s="12">
        <v>5.8375152769056697</v>
      </c>
      <c r="G72" s="12">
        <v>1.7942760849441599</v>
      </c>
      <c r="H72" s="12">
        <v>4.3590068426008504</v>
      </c>
      <c r="I72" s="12">
        <v>0.01</v>
      </c>
      <c r="J72" s="12">
        <v>6.0484114228120101</v>
      </c>
      <c r="K72" s="12">
        <v>1.4165771603172299</v>
      </c>
      <c r="L72" s="12">
        <v>6.2120827095859097</v>
      </c>
      <c r="M72" s="12">
        <v>7.2345493366986105E-2</v>
      </c>
      <c r="N72" s="4">
        <v>4253.6620006946496</v>
      </c>
      <c r="O72" s="4">
        <v>0.23927536496958901</v>
      </c>
      <c r="P72" s="12">
        <v>7.6924497632352706E-2</v>
      </c>
      <c r="Q72" s="10">
        <v>-3.8187075812659899E-2</v>
      </c>
      <c r="R72" s="10">
        <v>-0.483478218824476</v>
      </c>
      <c r="S72" s="12">
        <v>0.80453135039810297</v>
      </c>
      <c r="T72" s="12">
        <v>-1.4261133397373499E-3</v>
      </c>
      <c r="U72" s="12">
        <v>-0.214369492377011</v>
      </c>
      <c r="V72" s="12">
        <v>-6.6877637679948296E-2</v>
      </c>
      <c r="W72" s="12">
        <v>6.2337564976865396</v>
      </c>
      <c r="X72" s="12">
        <v>0.52416499393727001</v>
      </c>
      <c r="Y72" s="12">
        <v>6.2557548715818001</v>
      </c>
      <c r="Z72" s="12">
        <v>23.969862270658201</v>
      </c>
      <c r="AA72" s="12">
        <v>0.218517707200301</v>
      </c>
      <c r="AB72" s="12">
        <v>4283.5660803173296</v>
      </c>
      <c r="AC72" s="4">
        <v>0.38686650780088899</v>
      </c>
      <c r="AD72" s="4">
        <v>0.13975312462595799</v>
      </c>
      <c r="AE72" s="12">
        <v>-9.6716626950222304E-2</v>
      </c>
      <c r="AF72" s="14">
        <v>-6.9956232732376403E-2</v>
      </c>
      <c r="AG72" s="14">
        <v>0.15231737167553999</v>
      </c>
      <c r="AH72" s="12">
        <v>-3.9410831863750701E-4</v>
      </c>
      <c r="AI72" s="12">
        <v>3.6347128372641202E-2</v>
      </c>
      <c r="AJ72" s="12">
        <v>3.6936596913778701E-2</v>
      </c>
      <c r="AK72" s="12">
        <v>3.2652197646286199E-2</v>
      </c>
      <c r="AL72" s="12">
        <v>4.6785075861300101E-3</v>
      </c>
      <c r="AM72" s="12">
        <v>-3.9410831863750701E-4</v>
      </c>
      <c r="AN72" s="12">
        <v>-8.5143761777977307</v>
      </c>
      <c r="AO72" s="12">
        <v>4.9107495703637403</v>
      </c>
      <c r="AP72" s="12">
        <v>-234.519989602376</v>
      </c>
      <c r="AQ72"/>
      <c r="AR72"/>
      <c r="AS72"/>
    </row>
    <row r="73" spans="1:45" s="12" customFormat="1" x14ac:dyDescent="0.2">
      <c r="A73" s="12">
        <v>6</v>
      </c>
      <c r="B73" s="12">
        <v>-8.1428299012148901</v>
      </c>
      <c r="C73" s="12">
        <v>0.12799573724654001</v>
      </c>
      <c r="D73" s="12">
        <v>0.34599536321873903</v>
      </c>
      <c r="E73" s="4">
        <v>0</v>
      </c>
      <c r="F73" s="12">
        <v>5.75237151512769</v>
      </c>
      <c r="G73" s="12">
        <v>1.8433835806478001</v>
      </c>
      <c r="H73" s="12">
        <v>2.0138069465770898</v>
      </c>
      <c r="I73" s="12">
        <v>0.01</v>
      </c>
      <c r="J73" s="12">
        <v>5.8573140804677504</v>
      </c>
      <c r="K73" s="12">
        <v>1.6733028210179299</v>
      </c>
      <c r="L73" s="12">
        <v>6.0916393990512399</v>
      </c>
      <c r="M73" s="12">
        <v>6.7729762575660102E-2</v>
      </c>
      <c r="N73" s="4">
        <v>4171.1896388137302</v>
      </c>
      <c r="O73" s="4">
        <v>0.22514927432422199</v>
      </c>
      <c r="P73" s="12">
        <v>7.6393298327284795E-2</v>
      </c>
      <c r="Q73" s="10">
        <v>-3.8079294478109198E-2</v>
      </c>
      <c r="R73" s="10">
        <v>-0.48588251655503101</v>
      </c>
      <c r="S73" s="12">
        <v>0.70208157318593201</v>
      </c>
      <c r="T73" s="12">
        <v>-1.3674783116958201E-3</v>
      </c>
      <c r="U73" s="12">
        <v>-0.21125158582505499</v>
      </c>
      <c r="V73" s="12">
        <v>-7.6155532760444997E-2</v>
      </c>
      <c r="W73" s="12">
        <v>5.9608256304346003</v>
      </c>
      <c r="X73" s="12">
        <v>1.26514243605673</v>
      </c>
      <c r="Y73" s="12">
        <v>6.09360546638512</v>
      </c>
      <c r="Z73" s="12">
        <v>22.743366892724602</v>
      </c>
      <c r="AA73" s="12">
        <v>0.136856086516633</v>
      </c>
      <c r="AB73" s="12">
        <v>4172.5358839137898</v>
      </c>
      <c r="AC73" s="4">
        <v>0.25909893070485102</v>
      </c>
      <c r="AD73" s="4">
        <v>8.9224718207982598E-2</v>
      </c>
      <c r="AE73" s="12">
        <v>-6.4774732676212796E-2</v>
      </c>
      <c r="AF73" s="14">
        <v>-5.4544508675114803E-2</v>
      </c>
      <c r="AG73" s="14">
        <v>9.0832104765641505E-2</v>
      </c>
      <c r="AH73" s="12">
        <v>-2.5044323680765502E-4</v>
      </c>
      <c r="AI73" s="12">
        <v>3.3182687367276698E-2</v>
      </c>
      <c r="AJ73" s="12">
        <v>2.3091849056071801E-2</v>
      </c>
      <c r="AK73" s="12">
        <v>1.91884261755693E-2</v>
      </c>
      <c r="AL73" s="12">
        <v>4.15386611731008E-3</v>
      </c>
      <c r="AM73" s="12">
        <v>-2.5044323680765502E-4</v>
      </c>
      <c r="AN73" s="12">
        <v>-8.3142619266176201</v>
      </c>
      <c r="AO73" s="12">
        <v>2.3886719684857498</v>
      </c>
      <c r="AP73" s="12">
        <v>-180.0877840926</v>
      </c>
      <c r="AQ73"/>
      <c r="AR73"/>
      <c r="AS73"/>
    </row>
    <row r="74" spans="1:45" s="12" customFormat="1" x14ac:dyDescent="0.2">
      <c r="A74" s="12">
        <v>7</v>
      </c>
      <c r="B74" s="12">
        <v>-8.0853061860636206</v>
      </c>
      <c r="C74" s="12">
        <v>0.14642957305301799</v>
      </c>
      <c r="D74" s="12">
        <v>0.36613343268450999</v>
      </c>
      <c r="E74" s="4">
        <v>0</v>
      </c>
      <c r="F74" s="12">
        <v>5.6692288958615196</v>
      </c>
      <c r="G74" s="12">
        <v>1.8672703003326601</v>
      </c>
      <c r="H74" s="12">
        <v>0.212929105651086</v>
      </c>
      <c r="I74" s="12">
        <v>0.01</v>
      </c>
      <c r="J74" s="12">
        <v>5.68068483486599</v>
      </c>
      <c r="K74" s="12">
        <v>1.8495139609562401</v>
      </c>
      <c r="L74" s="12">
        <v>5.9741846376597199</v>
      </c>
      <c r="M74" s="12">
        <v>5.1377627089840498E-2</v>
      </c>
      <c r="N74" s="4">
        <v>4090.76365630696</v>
      </c>
      <c r="O74" s="4">
        <v>0.17081444740852</v>
      </c>
      <c r="P74" s="12">
        <v>7.25414215704486E-2</v>
      </c>
      <c r="Q74" s="10">
        <v>-3.7880853499812898E-2</v>
      </c>
      <c r="R74" s="10">
        <v>-0.42089945693111602</v>
      </c>
      <c r="S74" s="12">
        <v>0.48343697800854601</v>
      </c>
      <c r="T74" s="12">
        <v>-1.30839904084926E-3</v>
      </c>
      <c r="U74" s="12">
        <v>-0.209675229841252</v>
      </c>
      <c r="V74" s="12">
        <v>-8.0394002728103195E-2</v>
      </c>
      <c r="W74" s="12">
        <v>5.6924964032416003</v>
      </c>
      <c r="X74" s="12">
        <v>1.8065864210356799</v>
      </c>
      <c r="Y74" s="12">
        <v>5.9722918379454804</v>
      </c>
      <c r="Z74" s="12">
        <v>21.846815251024001</v>
      </c>
      <c r="AA74" s="12">
        <v>5.8824630203128198E-2</v>
      </c>
      <c r="AB74" s="12">
        <v>4089.4675804825101</v>
      </c>
      <c r="AC74" s="4">
        <v>0.12493747466418501</v>
      </c>
      <c r="AD74" s="4">
        <v>6.1994070168816397E-2</v>
      </c>
      <c r="AE74" s="12">
        <v>-3.1234368666046199E-2</v>
      </c>
      <c r="AF74" s="14">
        <v>-3.5981809251036202E-2</v>
      </c>
      <c r="AG74" s="14">
        <v>3.7262671395805698E-2</v>
      </c>
      <c r="AH74" s="12">
        <v>-1.16003151894012E-4</v>
      </c>
      <c r="AI74" s="12">
        <v>2.5124436487188199E-2</v>
      </c>
      <c r="AJ74" s="12">
        <v>1.05897777086105E-2</v>
      </c>
      <c r="AK74" s="12">
        <v>7.8130591894146201E-3</v>
      </c>
      <c r="AL74" s="12">
        <v>2.8927216710898898E-3</v>
      </c>
      <c r="AM74" s="12">
        <v>-1.16003151894012E-4</v>
      </c>
      <c r="AN74" s="12">
        <v>-7.0289425566485004</v>
      </c>
      <c r="AO74" s="12">
        <v>-1.79923616300996</v>
      </c>
      <c r="AP74" s="12">
        <v>-114.29136700025001</v>
      </c>
      <c r="AQ74"/>
      <c r="AR74"/>
      <c r="AS74"/>
    </row>
    <row r="75" spans="1:45" s="12" customFormat="1" x14ac:dyDescent="0.2">
      <c r="A75" s="12">
        <v>8</v>
      </c>
      <c r="B75" s="12">
        <v>-8.0286138971050001</v>
      </c>
      <c r="C75" s="12">
        <v>0.165102276056345</v>
      </c>
      <c r="D75" s="12">
        <v>0.36826272374102098</v>
      </c>
      <c r="E75" s="4">
        <v>0</v>
      </c>
      <c r="F75" s="12">
        <v>5.5989394702950301</v>
      </c>
      <c r="G75" s="12">
        <v>1.84927793870256</v>
      </c>
      <c r="H75" s="12">
        <v>-0.92998456435141597</v>
      </c>
      <c r="I75" s="12">
        <v>0.01</v>
      </c>
      <c r="J75" s="12">
        <v>5.5487397407867602</v>
      </c>
      <c r="K75" s="12">
        <v>1.9267234289843</v>
      </c>
      <c r="L75" s="12">
        <v>5.8737361093927598</v>
      </c>
      <c r="M75" s="12">
        <v>3.4052241128254002E-2</v>
      </c>
      <c r="N75" s="4">
        <v>4021.9825232007402</v>
      </c>
      <c r="O75" s="4">
        <v>0.105440635055202</v>
      </c>
      <c r="P75" s="12">
        <v>6.8976042193544002E-2</v>
      </c>
      <c r="Q75" s="10">
        <v>-3.7458577869264501E-2</v>
      </c>
      <c r="R75" s="10">
        <v>-0.333035113798064</v>
      </c>
      <c r="S75" s="12">
        <v>0.25702445301181298</v>
      </c>
      <c r="T75" s="12">
        <v>-1.2506717124567599E-3</v>
      </c>
      <c r="U75" s="12">
        <v>-0.20950357241857101</v>
      </c>
      <c r="V75" s="12">
        <v>-8.0840279734082504E-2</v>
      </c>
      <c r="W75" s="12">
        <v>5.4967526875339399</v>
      </c>
      <c r="X75" s="12">
        <v>2.11410255475821</v>
      </c>
      <c r="Y75" s="12">
        <v>5.8892885580473804</v>
      </c>
      <c r="Z75" s="12">
        <v>21.243778328468</v>
      </c>
      <c r="AA75" s="12">
        <v>1.09419572282587E-3</v>
      </c>
      <c r="AB75" s="12">
        <v>4032.6319081095799</v>
      </c>
      <c r="AC75" s="4">
        <v>2.4271728220240001E-3</v>
      </c>
      <c r="AD75" s="4">
        <v>5.7916910429785202E-2</v>
      </c>
      <c r="AE75" s="12">
        <v>-6.06793205506001E-4</v>
      </c>
      <c r="AF75" s="14">
        <v>-1.9836892541534701E-2</v>
      </c>
      <c r="AG75" s="14">
        <v>-6.6902980124471604E-3</v>
      </c>
      <c r="AH75" s="13">
        <v>-2.1913986593283E-6</v>
      </c>
      <c r="AI75" s="12">
        <v>1.63092919485858E-2</v>
      </c>
      <c r="AJ75" s="12">
        <v>1.9978720930073201E-4</v>
      </c>
      <c r="AK75" s="12">
        <v>-1.40164133415254E-3</v>
      </c>
      <c r="AL75" s="12">
        <v>1.6036199421126001E-3</v>
      </c>
      <c r="AM75" s="13">
        <v>-2.1913986593283E-6</v>
      </c>
      <c r="AN75" s="12">
        <v>-5.4288000975322896</v>
      </c>
      <c r="AO75" s="12">
        <v>-5.9587053077020498</v>
      </c>
      <c r="AP75" s="12">
        <v>-52.831772092920701</v>
      </c>
      <c r="AQ75"/>
      <c r="AR75"/>
      <c r="AS75"/>
    </row>
    <row r="76" spans="1:45" s="12" customFormat="1" x14ac:dyDescent="0.2">
      <c r="A76" s="12">
        <v>9</v>
      </c>
      <c r="B76" s="12">
        <v>-7.9726245024020503</v>
      </c>
      <c r="C76" s="12">
        <v>0.18359505544337101</v>
      </c>
      <c r="D76" s="12">
        <v>0.35896287809750599</v>
      </c>
      <c r="E76" s="4">
        <v>0</v>
      </c>
      <c r="F76" s="12">
        <v>5.5446514693197102</v>
      </c>
      <c r="G76" s="12">
        <v>1.78969088562554</v>
      </c>
      <c r="H76" s="12">
        <v>-1.45830228528062</v>
      </c>
      <c r="I76" s="12">
        <v>0.01</v>
      </c>
      <c r="J76" s="12">
        <v>5.4670664019767203</v>
      </c>
      <c r="K76" s="12">
        <v>1.91185941851717</v>
      </c>
      <c r="L76" s="12">
        <v>5.79172007954429</v>
      </c>
      <c r="M76" s="12">
        <v>2.25511152197298E-2</v>
      </c>
      <c r="N76" s="4">
        <v>3965.8228605040499</v>
      </c>
      <c r="O76" s="4">
        <v>5.9971118598373598E-2</v>
      </c>
      <c r="P76" s="12">
        <v>6.72855500600502E-2</v>
      </c>
      <c r="Q76" s="10">
        <v>-3.7088657939243798E-2</v>
      </c>
      <c r="R76" s="10">
        <v>-0.27044433488382602</v>
      </c>
      <c r="S76" s="12">
        <v>0.111664681778455</v>
      </c>
      <c r="T76" s="13">
        <v>-1.20398042525191E-3</v>
      </c>
      <c r="U76" s="13">
        <v>-0.210246304089104</v>
      </c>
      <c r="V76" s="12">
        <v>-7.8888461136593896E-2</v>
      </c>
      <c r="W76" s="12">
        <v>5.3882819075888797</v>
      </c>
      <c r="X76" s="12">
        <v>2.2064327253353602</v>
      </c>
      <c r="Y76" s="12">
        <v>5.8225361559273701</v>
      </c>
      <c r="Z76" s="12">
        <v>20.7649304633374</v>
      </c>
      <c r="AA76" s="12">
        <v>-2.96952457617836E-2</v>
      </c>
      <c r="AB76" s="13">
        <v>3986.9238630581499</v>
      </c>
      <c r="AC76" s="4">
        <v>-6.5275477961700107E-2</v>
      </c>
      <c r="AD76" s="4">
        <v>5.9701459467942898E-2</v>
      </c>
      <c r="AE76" s="12">
        <v>1.6318869490424999E-2</v>
      </c>
      <c r="AF76" s="14">
        <v>-1.07711629009814E-2</v>
      </c>
      <c r="AG76" s="14">
        <v>-2.93101952079271E-2</v>
      </c>
      <c r="AH76" s="13">
        <v>5.7606232335522197E-5</v>
      </c>
      <c r="AI76" s="13">
        <v>1.0432470910433599E-2</v>
      </c>
      <c r="AJ76" s="13">
        <v>-5.2550335163513403E-3</v>
      </c>
      <c r="AK76" s="12">
        <v>-6.1623602145968598E-3</v>
      </c>
      <c r="AL76" s="12">
        <v>8.4972046590999905E-4</v>
      </c>
      <c r="AM76" s="13">
        <v>5.7606232335522197E-5</v>
      </c>
      <c r="AN76" s="12">
        <v>-4.3263922736124298</v>
      </c>
      <c r="AO76" s="13">
        <v>-8.5430078989149401</v>
      </c>
      <c r="AP76" s="12">
        <v>-16.568652304198999</v>
      </c>
      <c r="AQ76"/>
      <c r="AR76"/>
      <c r="AS76"/>
    </row>
    <row r="77" spans="1:45" s="12" customFormat="1" x14ac:dyDescent="0.2">
      <c r="A77" s="12">
        <v>10</v>
      </c>
      <c r="B77" s="12">
        <v>-7.9171779877088504</v>
      </c>
      <c r="C77" s="12">
        <v>0.20149196429962599</v>
      </c>
      <c r="D77" s="12">
        <v>0.34437985524469999</v>
      </c>
      <c r="E77" s="4">
        <v>0</v>
      </c>
      <c r="F77" s="12">
        <v>5.5013875465835804</v>
      </c>
      <c r="G77" s="13">
        <v>1.70426080663639</v>
      </c>
      <c r="H77" s="13">
        <v>-1.6239888083226099</v>
      </c>
      <c r="I77" s="13">
        <v>0.01</v>
      </c>
      <c r="J77" s="12">
        <v>5.41698069146178</v>
      </c>
      <c r="K77" s="12">
        <v>1.8415551058259101</v>
      </c>
      <c r="L77" s="13">
        <v>5.7214513035998404</v>
      </c>
      <c r="M77" s="13">
        <v>1.6677533351649301E-2</v>
      </c>
      <c r="N77" s="4">
        <v>3917.7070133648999</v>
      </c>
      <c r="O77" s="4">
        <v>3.7111453013230801E-2</v>
      </c>
      <c r="P77" s="13">
        <v>6.6915934094295096E-2</v>
      </c>
      <c r="Q77" s="10">
        <v>-3.6902196019073297E-2</v>
      </c>
      <c r="R77" s="10">
        <v>-0.23854504075383701</v>
      </c>
      <c r="S77" s="12">
        <v>4.3078814541078599E-2</v>
      </c>
      <c r="T77" s="13">
        <v>-1.1690357792194001E-3</v>
      </c>
      <c r="U77" s="13">
        <v>-0.211374339972875</v>
      </c>
      <c r="V77" s="13">
        <v>-7.5814154909618098E-2</v>
      </c>
      <c r="W77" s="12">
        <v>5.3340380121730702</v>
      </c>
      <c r="X77" s="12">
        <v>2.1708411889272901</v>
      </c>
      <c r="Y77" s="13">
        <v>5.7588638621564501</v>
      </c>
      <c r="Z77" s="13">
        <v>20.3132642019965</v>
      </c>
      <c r="AA77" s="13">
        <v>-4.2128276705339598E-2</v>
      </c>
      <c r="AB77" s="13">
        <v>3943.3248916387101</v>
      </c>
      <c r="AC77" s="4">
        <v>-9.1829537435669406E-2</v>
      </c>
      <c r="AD77" s="4">
        <v>6.1576498759747099E-2</v>
      </c>
      <c r="AE77" s="13">
        <v>2.2957384358917299E-2</v>
      </c>
      <c r="AF77" s="14">
        <v>-7.7416167665206896E-3</v>
      </c>
      <c r="AG77" s="14">
        <v>-3.7387362736582101E-2</v>
      </c>
      <c r="AH77" s="13">
        <v>7.9277700357810097E-5</v>
      </c>
      <c r="AI77" s="13">
        <v>7.5253818067484704E-3</v>
      </c>
      <c r="AJ77" s="13">
        <v>-7.2365272886257999E-3</v>
      </c>
      <c r="AK77" s="13">
        <v>-7.9027291217714998E-3</v>
      </c>
      <c r="AL77" s="13">
        <v>5.8692413278789695E-4</v>
      </c>
      <c r="AM77" s="13">
        <v>7.9277700357810097E-5</v>
      </c>
      <c r="AN77" s="13">
        <v>-3.7890255003131998</v>
      </c>
      <c r="AO77" s="13">
        <v>-9.72243920300774</v>
      </c>
      <c r="AP77" s="13">
        <v>-0.92438202782360701</v>
      </c>
      <c r="AQ77"/>
      <c r="AR77"/>
      <c r="AS77"/>
    </row>
    <row r="78" spans="1:45" s="12" customFormat="1" x14ac:dyDescent="0.2">
      <c r="A78" s="12">
        <v>11</v>
      </c>
      <c r="B78" s="12">
        <v>-7.8621641122430201</v>
      </c>
      <c r="C78" s="12">
        <v>0.21853457236599</v>
      </c>
      <c r="D78" s="12">
        <v>0.32813996716147398</v>
      </c>
      <c r="E78" s="4">
        <v>0</v>
      </c>
      <c r="F78" s="12">
        <v>5.4634972915804498</v>
      </c>
      <c r="G78" s="13">
        <v>1.6070364146063101</v>
      </c>
      <c r="H78" s="13">
        <v>-1.6332326286008501</v>
      </c>
      <c r="I78" s="13">
        <v>0.01</v>
      </c>
      <c r="J78" s="12">
        <v>5.3808634190061797</v>
      </c>
      <c r="K78" s="13">
        <v>1.74647249183735</v>
      </c>
      <c r="L78" s="13">
        <v>5.6571951794811204</v>
      </c>
      <c r="M78" s="13">
        <v>1.42961418184714E-2</v>
      </c>
      <c r="N78" s="4">
        <v>3873.7082699074199</v>
      </c>
      <c r="O78" s="4">
        <v>2.8127873630291102E-2</v>
      </c>
      <c r="P78" s="13">
        <v>6.7178788856927005E-2</v>
      </c>
      <c r="Q78" s="10">
        <v>-3.6830377960931797E-2</v>
      </c>
      <c r="R78" s="10">
        <v>-0.224795694620711</v>
      </c>
      <c r="S78" s="12">
        <v>1.86285723771944E-2</v>
      </c>
      <c r="T78" s="13">
        <v>-1.1407006288436999E-3</v>
      </c>
      <c r="U78" s="13">
        <v>-0.21257762656185</v>
      </c>
      <c r="V78" s="13">
        <v>-7.2371613005089597E-2</v>
      </c>
      <c r="W78" s="12">
        <v>5.3028373968815004</v>
      </c>
      <c r="X78" s="12">
        <v>2.0789438059253098</v>
      </c>
      <c r="Y78" s="13">
        <v>5.6957959765041801</v>
      </c>
      <c r="Z78" s="13">
        <v>19.870781231151199</v>
      </c>
      <c r="AA78" s="13">
        <v>-4.5488674871488201E-2</v>
      </c>
      <c r="AB78" s="13">
        <v>3900.1397826817301</v>
      </c>
      <c r="AC78" s="4">
        <v>-9.9035086500033995E-2</v>
      </c>
      <c r="AD78" s="4">
        <v>6.2653360053851095E-2</v>
      </c>
      <c r="AE78" s="13">
        <v>2.4758771625008499E-2</v>
      </c>
      <c r="AF78" s="14">
        <v>-7.4936300835498904E-3</v>
      </c>
      <c r="AG78" s="14">
        <v>-3.88712923230152E-2</v>
      </c>
      <c r="AH78" s="13">
        <v>8.3635942867138499E-5</v>
      </c>
      <c r="AI78" s="13">
        <v>6.3582554815031396E-3</v>
      </c>
      <c r="AJ78" s="13">
        <v>-7.6372050241413697E-3</v>
      </c>
      <c r="AK78" s="13">
        <v>-8.2631670634184702E-3</v>
      </c>
      <c r="AL78" s="13">
        <v>5.4232609640997005E-4</v>
      </c>
      <c r="AM78" s="13">
        <v>8.3635942867138499E-5</v>
      </c>
      <c r="AN78" s="13">
        <v>-3.5736819185270901</v>
      </c>
      <c r="AO78" s="13">
        <v>-10.1214264607049</v>
      </c>
      <c r="AP78" s="13">
        <v>4.0928491594717</v>
      </c>
      <c r="AQ78"/>
      <c r="AR78"/>
      <c r="AS78"/>
    </row>
    <row r="79" spans="1:45" s="12" customFormat="1" x14ac:dyDescent="0.2">
      <c r="A79" s="12">
        <v>12</v>
      </c>
      <c r="B79" s="13">
        <v>-7.8075291393272099</v>
      </c>
      <c r="C79" s="13">
        <v>0.234604936512053</v>
      </c>
      <c r="D79" s="13">
        <v>0.31180764087546597</v>
      </c>
      <c r="E79" s="6">
        <v>0</v>
      </c>
      <c r="F79" s="12">
        <v>5.42776047239518</v>
      </c>
      <c r="G79" s="13">
        <v>1.5058221499992599</v>
      </c>
      <c r="H79" s="13">
        <v>-1.5923041370061299</v>
      </c>
      <c r="I79" s="13">
        <v>0.01</v>
      </c>
      <c r="J79" s="12">
        <v>5.34942828095165</v>
      </c>
      <c r="K79" s="13">
        <v>1.6430615798750401</v>
      </c>
      <c r="L79" s="13">
        <v>5.5960731132024897</v>
      </c>
      <c r="M79" s="13">
        <v>1.3806859042799101E-2</v>
      </c>
      <c r="N79" s="6">
        <v>3831.8555414606199</v>
      </c>
      <c r="O79" s="6">
        <v>2.6441272948116299E-2</v>
      </c>
      <c r="P79" s="13">
        <v>6.7732966009193596E-2</v>
      </c>
      <c r="Q79" s="10">
        <v>-3.6812883726375797E-2</v>
      </c>
      <c r="R79" s="10">
        <v>-0.21975273579138899</v>
      </c>
      <c r="S79" s="12">
        <v>1.63314229686158E-2</v>
      </c>
      <c r="T79" s="13">
        <v>-1.11565464771556E-3</v>
      </c>
      <c r="U79" s="13">
        <v>-0.21373121944467199</v>
      </c>
      <c r="V79" s="13">
        <v>-6.8890228032148407E-2</v>
      </c>
      <c r="W79" s="12">
        <v>5.2786614403915202</v>
      </c>
      <c r="X79" s="12">
        <v>1.9684003535913801</v>
      </c>
      <c r="Y79" s="13">
        <v>5.6337258146182396</v>
      </c>
      <c r="Z79" s="13">
        <v>19.440055764506301</v>
      </c>
      <c r="AA79" s="13">
        <v>-4.51185230497851E-2</v>
      </c>
      <c r="AB79" s="13">
        <v>3857.6378551745902</v>
      </c>
      <c r="AC79" s="6">
        <v>-9.8472351165381403E-2</v>
      </c>
      <c r="AD79" s="4">
        <v>6.3263573433729903E-2</v>
      </c>
      <c r="AE79" s="13">
        <v>2.4618087791345299E-2</v>
      </c>
      <c r="AF79" s="14">
        <v>-8.2192497021516403E-3</v>
      </c>
      <c r="AG79" s="14">
        <v>-3.7797165970562902E-2</v>
      </c>
      <c r="AH79" s="13">
        <v>8.1358089911475105E-5</v>
      </c>
      <c r="AI79" s="13">
        <v>6.06957993991546E-3</v>
      </c>
      <c r="AJ79" s="13">
        <v>-7.4308502982952203E-3</v>
      </c>
      <c r="AK79" s="13">
        <v>-8.0784343744410899E-3</v>
      </c>
      <c r="AL79" s="13">
        <v>5.6622598623439402E-4</v>
      </c>
      <c r="AM79" s="13">
        <v>8.1358089911475105E-5</v>
      </c>
      <c r="AN79" s="13">
        <v>-3.5072613152852399</v>
      </c>
      <c r="AO79" s="13">
        <v>-10.140242200029901</v>
      </c>
      <c r="AP79" s="13">
        <v>4.3562893267982297</v>
      </c>
      <c r="AQ79"/>
      <c r="AR79"/>
      <c r="AS79"/>
    </row>
    <row r="80" spans="1:45" s="12" customFormat="1" x14ac:dyDescent="0.2">
      <c r="A80" s="12">
        <v>13</v>
      </c>
      <c r="B80" s="13">
        <v>-7.75325153460326</v>
      </c>
      <c r="C80" s="13">
        <v>0.249663158012046</v>
      </c>
      <c r="D80" s="13">
        <v>0.29588459950540402</v>
      </c>
      <c r="E80" s="6">
        <v>0</v>
      </c>
      <c r="F80" s="12">
        <v>5.3926878592423302</v>
      </c>
      <c r="G80" s="13">
        <v>1.4044197279989601</v>
      </c>
      <c r="H80" s="13">
        <v>-1.54874124373815</v>
      </c>
      <c r="I80" s="13">
        <v>0.01</v>
      </c>
      <c r="J80" s="12">
        <v>5.3186337634688696</v>
      </c>
      <c r="K80" s="13">
        <v>1.5391006966438301</v>
      </c>
      <c r="L80" s="13">
        <v>5.5368489291583103</v>
      </c>
      <c r="M80" s="13">
        <v>1.4200186946048601E-2</v>
      </c>
      <c r="N80" s="6">
        <v>3791.3023690435598</v>
      </c>
      <c r="O80" s="6">
        <v>2.8110655255618001E-2</v>
      </c>
      <c r="P80" s="13">
        <v>6.8416120379775097E-2</v>
      </c>
      <c r="Q80" s="10">
        <v>-3.6817755473972501E-2</v>
      </c>
      <c r="R80" s="10">
        <v>-0.21816014046335999</v>
      </c>
      <c r="S80" s="12">
        <v>2.36895064005554E-2</v>
      </c>
      <c r="T80" s="13">
        <v>-1.0923098179925E-3</v>
      </c>
      <c r="U80" s="13">
        <v>-0.214801020561355</v>
      </c>
      <c r="V80" s="13">
        <v>-6.5478387651409398E-2</v>
      </c>
      <c r="W80" s="12">
        <v>5.2548501588871801</v>
      </c>
      <c r="X80" s="12">
        <v>1.8565945565200801</v>
      </c>
      <c r="Y80" s="13">
        <v>5.5731852238785002</v>
      </c>
      <c r="Z80" s="13">
        <v>19.0244910430403</v>
      </c>
      <c r="AA80" s="13">
        <v>-4.3736469584415003E-2</v>
      </c>
      <c r="AB80" s="13">
        <v>3816.1832863338</v>
      </c>
      <c r="AC80" s="6">
        <v>-9.5780546285233803E-2</v>
      </c>
      <c r="AD80" s="4">
        <v>6.3741778355610804E-2</v>
      </c>
      <c r="AE80" s="13">
        <v>2.3945136571308399E-2</v>
      </c>
      <c r="AF80" s="14">
        <v>-9.1182536357297499E-3</v>
      </c>
      <c r="AG80" s="14">
        <v>-3.6075134809995003E-2</v>
      </c>
      <c r="AH80" s="13">
        <v>7.7442486158290106E-5</v>
      </c>
      <c r="AI80" s="13">
        <v>6.16532563655683E-3</v>
      </c>
      <c r="AJ80" s="13">
        <v>-7.0744847416529403E-3</v>
      </c>
      <c r="AK80" s="13">
        <v>-7.7489757740754096E-3</v>
      </c>
      <c r="AL80" s="13">
        <v>5.9704854626418599E-4</v>
      </c>
      <c r="AM80" s="13">
        <v>7.7442486158290106E-5</v>
      </c>
      <c r="AN80" s="13">
        <v>-3.49659067844753</v>
      </c>
      <c r="AO80" s="13">
        <v>-10.0005481293759</v>
      </c>
      <c r="AP80" s="13">
        <v>2.9094588606231002</v>
      </c>
      <c r="AQ80"/>
      <c r="AR80"/>
      <c r="AS80"/>
    </row>
    <row r="81" spans="1:45" s="12" customFormat="1" x14ac:dyDescent="0.2">
      <c r="A81" s="12">
        <v>14</v>
      </c>
      <c r="B81" s="13">
        <v>-7.6993246560108402</v>
      </c>
      <c r="C81" s="13">
        <v>0.26370735529203598</v>
      </c>
      <c r="D81" s="13">
        <v>0.28039718706802302</v>
      </c>
      <c r="E81" s="6">
        <v>0</v>
      </c>
      <c r="F81" s="12">
        <v>5.3577219524578501</v>
      </c>
      <c r="G81" s="13">
        <v>1.3044142467052</v>
      </c>
      <c r="H81" s="13">
        <v>-1.5196466551319201</v>
      </c>
      <c r="I81" s="13">
        <v>0.01</v>
      </c>
      <c r="J81" s="12">
        <v>5.2871143411528099</v>
      </c>
      <c r="K81" s="13">
        <v>1.4376745713432499</v>
      </c>
      <c r="L81" s="13">
        <v>5.4790953842319396</v>
      </c>
      <c r="M81" s="12">
        <v>1.48962946165034E-2</v>
      </c>
      <c r="N81" s="6">
        <v>3751.7562021711101</v>
      </c>
      <c r="O81" s="6">
        <v>3.0928235746831401E-2</v>
      </c>
      <c r="P81" s="12">
        <v>6.9143430078017307E-2</v>
      </c>
      <c r="Q81" s="10">
        <v>-3.6828829671072601E-2</v>
      </c>
      <c r="R81" s="10">
        <v>-0.21741618319415501</v>
      </c>
      <c r="S81" s="12">
        <v>3.3996497606668799E-2</v>
      </c>
      <c r="T81" s="12">
        <v>-1.0699631491783101E-3</v>
      </c>
      <c r="U81" s="12">
        <v>-0.215789310251708</v>
      </c>
      <c r="V81" s="12">
        <v>-6.2143955979001499E-2</v>
      </c>
      <c r="W81" s="12">
        <v>5.2293610703714499</v>
      </c>
      <c r="X81" s="12">
        <v>1.75013589046545</v>
      </c>
      <c r="Y81" s="13">
        <v>5.5144530861557604</v>
      </c>
      <c r="Z81" s="13">
        <v>18.625630614140299</v>
      </c>
      <c r="AA81" s="12">
        <v>-4.2560232953136302E-2</v>
      </c>
      <c r="AB81" s="12">
        <v>3775.9670377533798</v>
      </c>
      <c r="AC81" s="6">
        <v>-9.34912562352124E-2</v>
      </c>
      <c r="AD81" s="4">
        <v>6.42438141900947E-2</v>
      </c>
      <c r="AE81" s="12">
        <v>2.33728140588031E-2</v>
      </c>
      <c r="AF81" s="14">
        <v>-9.89515560010399E-3</v>
      </c>
      <c r="AG81" s="14">
        <v>-3.4528196941662301E-2</v>
      </c>
      <c r="AH81" s="13">
        <v>7.40066781822831E-5</v>
      </c>
      <c r="AI81" s="12">
        <v>6.38099401614172E-3</v>
      </c>
      <c r="AJ81" s="12">
        <v>-6.7618850100759397E-3</v>
      </c>
      <c r="AK81" s="12">
        <v>-7.4508158022764601E-3</v>
      </c>
      <c r="AL81" s="12">
        <v>6.1492411401823299E-4</v>
      </c>
      <c r="AM81" s="13">
        <v>7.40066781822831E-5</v>
      </c>
      <c r="AN81" s="12">
        <v>-3.4970975199116801</v>
      </c>
      <c r="AO81" s="12">
        <v>-9.8181799897691295</v>
      </c>
      <c r="AP81" s="12">
        <v>1.2189139073917199</v>
      </c>
      <c r="AQ81"/>
      <c r="AR81"/>
      <c r="AS81"/>
    </row>
    <row r="82" spans="1:45" s="12" customFormat="1" x14ac:dyDescent="0.2">
      <c r="A82" s="12">
        <v>15</v>
      </c>
      <c r="B82" s="13">
        <v>-7.6457474364862597</v>
      </c>
      <c r="C82" s="13">
        <v>0.27675149775908803</v>
      </c>
      <c r="D82" s="13">
        <v>0.26520072051670301</v>
      </c>
      <c r="E82" s="6">
        <v>0</v>
      </c>
      <c r="F82" s="12">
        <v>5.3227509772587398</v>
      </c>
      <c r="G82" s="12">
        <v>1.2062324468075101</v>
      </c>
      <c r="H82" s="12">
        <v>-1.5074575160579999</v>
      </c>
      <c r="I82" s="12">
        <v>0.01</v>
      </c>
      <c r="J82" s="12">
        <v>5.2547265647909303</v>
      </c>
      <c r="K82" s="12">
        <v>1.3394729611268099</v>
      </c>
      <c r="L82" s="12">
        <v>5.4227612048024296</v>
      </c>
      <c r="M82" s="12">
        <v>1.5607969395062499E-2</v>
      </c>
      <c r="N82" s="4">
        <v>3713.18193174006</v>
      </c>
      <c r="O82" s="4">
        <v>3.38009652430682E-2</v>
      </c>
      <c r="P82" s="12">
        <v>6.9870403434818498E-2</v>
      </c>
      <c r="Q82" s="10">
        <v>-3.6838570059394803E-2</v>
      </c>
      <c r="R82" s="10">
        <v>-0.216435754144091</v>
      </c>
      <c r="S82" s="12">
        <v>4.40954524782768E-2</v>
      </c>
      <c r="T82" s="12">
        <v>-1.0483514612355199E-3</v>
      </c>
      <c r="U82" s="12">
        <v>-0.21670872653968201</v>
      </c>
      <c r="V82" s="12">
        <v>-5.88576717614403E-2</v>
      </c>
      <c r="W82" s="12">
        <v>5.2021531903100504</v>
      </c>
      <c r="X82" s="12">
        <v>1.6502628008976601</v>
      </c>
      <c r="Y82" s="12">
        <v>5.4576336564009704</v>
      </c>
      <c r="Z82" s="12">
        <v>18.243781140581898</v>
      </c>
      <c r="AA82" s="12">
        <v>-4.19846132738457E-2</v>
      </c>
      <c r="AB82" s="12">
        <v>3737.06049697663</v>
      </c>
      <c r="AC82" s="4">
        <v>-9.2448253395275404E-2</v>
      </c>
      <c r="AD82" s="4">
        <v>6.4812102262185506E-2</v>
      </c>
      <c r="AE82" s="12">
        <v>2.3112063348818799E-2</v>
      </c>
      <c r="AF82" s="14">
        <v>-1.04902956800787E-2</v>
      </c>
      <c r="AG82" s="14">
        <v>-3.3408212158607703E-2</v>
      </c>
      <c r="AH82" s="13">
        <v>7.1680742325329696E-5</v>
      </c>
      <c r="AI82" s="12">
        <v>6.5926769850917499E-3</v>
      </c>
      <c r="AJ82" s="12">
        <v>-6.5507359907155298E-3</v>
      </c>
      <c r="AK82" s="12">
        <v>-7.2398511128593896E-3</v>
      </c>
      <c r="AL82" s="12">
        <v>6.1743437981852996E-4</v>
      </c>
      <c r="AM82" s="13">
        <v>7.1680742325329696E-5</v>
      </c>
      <c r="AN82" s="12">
        <v>-3.4911699972949202</v>
      </c>
      <c r="AO82" s="12">
        <v>-9.6455809181589292</v>
      </c>
      <c r="AP82" s="12">
        <v>-0.13421808903108901</v>
      </c>
      <c r="AQ82"/>
      <c r="AR82"/>
      <c r="AS82"/>
    </row>
    <row r="83" spans="1:45" s="12" customFormat="1" x14ac:dyDescent="0.2">
      <c r="A83" s="12">
        <v>16</v>
      </c>
      <c r="B83" s="12">
        <v>-7.5925199267136696</v>
      </c>
      <c r="C83" s="12">
        <v>0.28881382222716301</v>
      </c>
      <c r="D83" s="12">
        <v>0.25012614535612299</v>
      </c>
      <c r="E83" s="4">
        <v>0</v>
      </c>
      <c r="F83" s="12">
        <v>5.2878392772857898</v>
      </c>
      <c r="G83" s="12">
        <v>1.1097766376259199</v>
      </c>
      <c r="H83" s="12">
        <v>-1.50879969694831</v>
      </c>
      <c r="I83" s="12">
        <v>0.01</v>
      </c>
      <c r="J83" s="12">
        <v>5.2217722906590804</v>
      </c>
      <c r="K83" s="12">
        <v>1.24414694515006</v>
      </c>
      <c r="L83" s="12">
        <v>5.3679425738938598</v>
      </c>
      <c r="M83" s="12">
        <v>1.6225735342600699E-2</v>
      </c>
      <c r="N83" s="4">
        <v>3675.6454181218401</v>
      </c>
      <c r="O83" s="4">
        <v>3.6307806600491502E-2</v>
      </c>
      <c r="P83" s="12">
        <v>7.0576704681744207E-2</v>
      </c>
      <c r="Q83" s="10">
        <v>-3.6844320695971898E-2</v>
      </c>
      <c r="R83" s="10">
        <v>-0.214913983561931</v>
      </c>
      <c r="S83" s="12">
        <v>5.28746612463128E-2</v>
      </c>
      <c r="T83" s="12">
        <v>-1.02742340772073E-3</v>
      </c>
      <c r="U83" s="12">
        <v>-0.21757132504872001</v>
      </c>
      <c r="V83" s="12">
        <v>-5.5584316134787898E-2</v>
      </c>
      <c r="W83" s="12">
        <v>5.1738471041441496</v>
      </c>
      <c r="X83" s="12">
        <v>1.55597135369416</v>
      </c>
      <c r="Y83" s="12">
        <v>5.4027530677034203</v>
      </c>
      <c r="Z83" s="12">
        <v>17.878716185229401</v>
      </c>
      <c r="AA83" s="12">
        <v>-4.2007331590350999E-2</v>
      </c>
      <c r="AB83" s="12">
        <v>3699.4815583771301</v>
      </c>
      <c r="AC83" s="4">
        <v>-9.2661582784642899E-2</v>
      </c>
      <c r="AD83" s="4">
        <v>6.5441494871651906E-2</v>
      </c>
      <c r="AE83" s="12">
        <v>2.31653956961607E-2</v>
      </c>
      <c r="AF83" s="14">
        <v>-1.0936509284812599E-2</v>
      </c>
      <c r="AG83" s="14">
        <v>-3.2698443985346097E-2</v>
      </c>
      <c r="AH83" s="13">
        <v>7.0408480944932894E-5</v>
      </c>
      <c r="AI83" s="12">
        <v>6.7568409750526403E-3</v>
      </c>
      <c r="AJ83" s="12">
        <v>-6.4359369144801302E-3</v>
      </c>
      <c r="AK83" s="12">
        <v>-7.1142437849231396E-3</v>
      </c>
      <c r="AL83" s="12">
        <v>6.0789838949807003E-4</v>
      </c>
      <c r="AM83" s="13">
        <v>7.0408480944932894E-5</v>
      </c>
      <c r="AN83" s="12">
        <v>-3.47462296687298</v>
      </c>
      <c r="AO83" s="12">
        <v>-9.4995966575235897</v>
      </c>
      <c r="AP83" s="12">
        <v>-1.0269458417225199</v>
      </c>
      <c r="AQ83"/>
      <c r="AR83"/>
      <c r="AS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Sheet3</vt:lpstr>
      <vt:lpstr>Sheet3!rollout_terms_stage_0_16_full_test1_2d</vt:lpstr>
      <vt:lpstr>Sheet3!rollout_terms_stage_0_16_full_test2a_3dwing_fresh</vt:lpstr>
      <vt:lpstr>Sheet3!rollout_terms_stage_0_16_full_test3_2dwing_3delev</vt:lpstr>
      <vt:lpstr>Sheet3!rollout_terms_stage_0_16_full_test5_3dwing_3delev_centroidLplusX_20260219_170659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Gherardi</dc:creator>
  <cp:lastModifiedBy>Ben Gherardi</cp:lastModifiedBy>
  <dcterms:created xsi:type="dcterms:W3CDTF">2026-02-16T16:51:15Z</dcterms:created>
  <dcterms:modified xsi:type="dcterms:W3CDTF">2026-02-19T17:46:26Z</dcterms:modified>
</cp:coreProperties>
</file>